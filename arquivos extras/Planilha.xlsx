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4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Fluxo mensal" sheetId="15" r:id="rId14"/>
    <sheet name="Gastos Fixos anual" sheetId="16" r:id="rId15"/>
    <sheet name="Modelo" sheetId="2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2" l="1"/>
  <c r="O7" i="3" l="1"/>
  <c r="O6" i="3"/>
  <c r="F14" i="12" l="1"/>
  <c r="K23" i="10" l="1"/>
  <c r="K23" i="11"/>
  <c r="K23" i="12"/>
  <c r="K23" i="13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N7" i="3"/>
  <c r="M7" i="3"/>
  <c r="L7" i="3"/>
  <c r="K7" i="3"/>
  <c r="J7" i="3"/>
  <c r="I7" i="3"/>
  <c r="H7" i="3"/>
  <c r="G7" i="3"/>
  <c r="F7" i="3"/>
  <c r="E7" i="3"/>
  <c r="D7" i="3"/>
  <c r="C6" i="3"/>
  <c r="C7" i="3"/>
  <c r="K5" i="11" l="1"/>
  <c r="F13" i="11" l="1"/>
  <c r="F4" i="10" l="1"/>
  <c r="F14" i="10"/>
  <c r="F11" i="10"/>
  <c r="K12" i="10"/>
  <c r="J10" i="3" l="1"/>
  <c r="I10" i="3"/>
  <c r="H10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D4" i="13"/>
  <c r="G10" i="3" s="1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1" i="3"/>
  <c r="G30" i="3"/>
  <c r="F7" i="2"/>
  <c r="G37" i="3"/>
  <c r="G29" i="3"/>
  <c r="G36" i="3"/>
  <c r="G28" i="3"/>
  <c r="G35" i="3"/>
  <c r="G27" i="3"/>
  <c r="G34" i="3"/>
  <c r="G33" i="3"/>
  <c r="G32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9" i="3" s="1"/>
  <c r="D87" i="10"/>
  <c r="D86" i="10"/>
  <c r="D77" i="3" s="1"/>
  <c r="D85" i="10"/>
  <c r="D76" i="3" s="1"/>
  <c r="D84" i="10"/>
  <c r="D83" i="10"/>
  <c r="D82" i="10"/>
  <c r="D80" i="10"/>
  <c r="D79" i="10"/>
  <c r="D78" i="10"/>
  <c r="D77" i="10"/>
  <c r="D68" i="3" s="1"/>
  <c r="D76" i="10"/>
  <c r="D75" i="10"/>
  <c r="D66" i="3" s="1"/>
  <c r="D74" i="10"/>
  <c r="D72" i="10"/>
  <c r="D71" i="10"/>
  <c r="D62" i="3" s="1"/>
  <c r="D70" i="10"/>
  <c r="D61" i="3" s="1"/>
  <c r="D69" i="10"/>
  <c r="D68" i="10"/>
  <c r="D67" i="10"/>
  <c r="D58" i="3" s="1"/>
  <c r="D66" i="10"/>
  <c r="D64" i="10"/>
  <c r="D63" i="10"/>
  <c r="D62" i="10"/>
  <c r="D61" i="10"/>
  <c r="D52" i="3" s="1"/>
  <c r="D60" i="10"/>
  <c r="D59" i="10"/>
  <c r="D50" i="3" s="1"/>
  <c r="D58" i="10"/>
  <c r="D56" i="10"/>
  <c r="D55" i="10"/>
  <c r="D54" i="10"/>
  <c r="D53" i="10"/>
  <c r="D52" i="10"/>
  <c r="D43" i="3" s="1"/>
  <c r="D51" i="10"/>
  <c r="D42" i="3" s="1"/>
  <c r="D50" i="10"/>
  <c r="D48" i="10"/>
  <c r="D47" i="10"/>
  <c r="D38" i="3" s="1"/>
  <c r="D46" i="10"/>
  <c r="D45" i="10"/>
  <c r="D44" i="10"/>
  <c r="D43" i="10"/>
  <c r="D34" i="3" s="1"/>
  <c r="D42" i="10"/>
  <c r="D33" i="3" s="1"/>
  <c r="D41" i="10"/>
  <c r="D39" i="10"/>
  <c r="D38" i="10"/>
  <c r="D29" i="3" s="1"/>
  <c r="D37" i="10"/>
  <c r="D36" i="10"/>
  <c r="D27" i="3" s="1"/>
  <c r="D35" i="10"/>
  <c r="D26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1" i="3" l="1"/>
  <c r="O10" i="3"/>
  <c r="B42" i="2"/>
  <c r="D60" i="3"/>
  <c r="D59" i="3"/>
  <c r="D53" i="3"/>
  <c r="D39" i="3"/>
  <c r="B51" i="10"/>
  <c r="D18" i="3" s="1"/>
  <c r="D54" i="3"/>
  <c r="D70" i="3"/>
  <c r="D51" i="3"/>
  <c r="D69" i="3"/>
  <c r="D37" i="3"/>
  <c r="D55" i="3"/>
  <c r="D78" i="3"/>
  <c r="D47" i="3"/>
  <c r="D63" i="3"/>
  <c r="D35" i="3"/>
  <c r="D30" i="3"/>
  <c r="D44" i="3"/>
  <c r="D36" i="3"/>
  <c r="D45" i="3"/>
  <c r="D28" i="3"/>
  <c r="D74" i="3"/>
  <c r="D67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6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5" i="3"/>
  <c r="B75" i="6"/>
  <c r="K21" i="3" s="1"/>
  <c r="B51" i="4"/>
  <c r="I18" i="3" s="1"/>
  <c r="D49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2" i="3"/>
  <c r="B42" i="6"/>
  <c r="K17" i="3" s="1"/>
  <c r="D41" i="3"/>
  <c r="D57" i="3"/>
  <c r="B83" i="10"/>
  <c r="D22" i="3" s="1"/>
  <c r="B83" i="9"/>
  <c r="N22" i="3" s="1"/>
  <c r="B83" i="8"/>
  <c r="M22" i="3" s="1"/>
  <c r="B83" i="7"/>
  <c r="L22" i="3" s="1"/>
  <c r="B83" i="5"/>
  <c r="J22" i="3" s="1"/>
  <c r="B83" i="1"/>
  <c r="C22" i="3" s="1"/>
  <c r="B83" i="6"/>
  <c r="K22" i="3" s="1"/>
  <c r="B83" i="4"/>
  <c r="I22" i="3" s="1"/>
  <c r="B83" i="14"/>
  <c r="H22" i="3" s="1"/>
  <c r="B83" i="13"/>
  <c r="G22" i="3" s="1"/>
  <c r="B83" i="12"/>
  <c r="F22" i="3" s="1"/>
  <c r="B83" i="11"/>
  <c r="E22" i="3" s="1"/>
  <c r="D75" i="3"/>
  <c r="D73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8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F8" i="3" l="1"/>
  <c r="L8" i="3"/>
  <c r="O20" i="3"/>
  <c r="O22" i="3"/>
  <c r="O16" i="3"/>
  <c r="O19" i="3"/>
  <c r="O4" i="3"/>
  <c r="O18" i="3"/>
  <c r="O21" i="3"/>
  <c r="D17" i="3"/>
  <c r="O17" i="3" s="1"/>
  <c r="B50" i="3"/>
  <c r="B58" i="3"/>
  <c r="B27" i="3"/>
  <c r="B33" i="3"/>
  <c r="N8" i="3"/>
  <c r="B66" i="3"/>
  <c r="E8" i="3"/>
  <c r="B42" i="3"/>
  <c r="D8" i="3"/>
  <c r="G8" i="3"/>
  <c r="M8" i="3"/>
  <c r="B74" i="3"/>
  <c r="K8" i="3"/>
  <c r="J8" i="3"/>
  <c r="F6" i="1"/>
  <c r="C5" i="3" s="1"/>
  <c r="O5" i="3" s="1"/>
  <c r="C4" i="3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13" s="1"/>
  <c r="F3" i="3"/>
  <c r="F9" i="3" s="1"/>
  <c r="F7" i="13" l="1"/>
  <c r="D7" i="14" s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<sst xmlns="http://schemas.openxmlformats.org/spreadsheetml/2006/main" count="1470" uniqueCount="198">
  <si>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</si>
  <si>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</si>
  <si>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</si>
  <si>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</si>
  <si>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</si>
  <si>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</si>
  <si>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</si>
  <si>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</si>
  <si>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</si>
  <si>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</si>
  <si>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</si>
  <si>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</si>
  <si>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</si>
  <si>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</si>
  <si>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</si>
  <si>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</si>
  <si>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</si>
  <si>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</si>
  <si>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</si>
  <si>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</si>
  <si>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</si>
  <si>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</si>
  <si>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</si>
  <si>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</si>
  <si>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</si>
  <si>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</si>
  <si>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</si>
  <si>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</si>
  <si>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</si>
  <si>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</si>
  <si>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</si>
  <si>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</si>
  <si>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</si>
  <si>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</si>
  <si>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</si>
  <si>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</si>
  <si>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</si>
  <si>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</si>
  <si>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</si>
  <si>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</si>
  <si>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</si>
  <si>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</si>
  <si>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</si>
  <si>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</si>
  <si>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</si>
  <si>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</si>
  <si>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</si>
  <si>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</si>
  <si>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</si>
  <si>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</si>
  <si>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</si>
  <si>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</si>
  <si>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</si>
  <si>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</si>
  <si>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</si>
  <si>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</si>
  <si>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</si>
  <si>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</si>
  <si>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</si>
  <si>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</si>
  <si>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</si>
  <si>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</si>
  <si>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</si>
  <si>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</si>
  <si>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</si>
  <si>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</si>
  <si>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</si>
  <si>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</si>
  <si>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</si>
  <si>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</si>
  <si>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</si>
  <si>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</si>
  <si>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</si>
  <si>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</si>
  <si>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</si>
  <si>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</si>
  <si>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</si>
  <si>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</si>
  <si>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</si>
  <si>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</si>
  <si>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</si>
  <si>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</si>
  <si>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</si>
  <si>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</si>
  <si>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</si>
  <si>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</si>
  <si>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</si>
  <si>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</si>
  <si>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</si>
  <si>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</si>
  <si>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</si>
  <si>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</si>
  <si>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</si>
  <si>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</si>
  <si>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</si>
  <si>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</si>
  <si>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</si>
  <si>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</si>
  <si>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</si>
  <si>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</si>
  <si>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</si>
  <si>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</si>
  <si>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</si>
  <si>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</si>
  <si>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</si>
  <si>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</si>
  <si>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</si>
  <si>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</si>
  <si>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</si>
  <si>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</si>
  <si>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</si>
  <si>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</si>
  <si>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</si>
  <si>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</si>
  <si>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</si>
  <si>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</si>
  <si>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</si>
  <si>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</si>
  <si>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</si>
  <si>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</si>
  <si>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</si>
  <si>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</si>
  <si>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</si>
  <si>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</si>
  <si>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</si>
  <si>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</si>
  <si>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</si>
  <si>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</si>
  <si>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</si>
  <si>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</si>
  <si>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</si>
  <si>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</si>
  <si>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</si>
  <si>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</si>
  <si>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</si>
  <si>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</si>
  <si>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</si>
  <si>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</si>
  <si>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</si>
  <si>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</si>
  <si>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</si>
  <si>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</si>
  <si>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</si>
  <si>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</si>
  <si>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</si>
  <si>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</si>
  <si>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</si>
  <si>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</si>
  <si>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</si>
  <si>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</si>
  <si>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</si>
  <si>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</si>
  <si>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</si>
  <si>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</si>
  <si>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</si>
  <si>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</si>
  <si>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</si>
  <si>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</si>
  <si>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</si>
  <si>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</si>
  <si>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</si>
  <si>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</si>
  <si>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</si>
  <si>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</si>
  <si>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</si>
  <si>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</si>
  <si>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</si>
  <si>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</si>
  <si>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</si>
  <si>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</si>
  <si>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</si>
  <si>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</si>
  <si>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</si>
  <si>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</si>
  <si>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</si>
  <si>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</si>
  <si>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</si>
  <si>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</si>
  <si>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</si>
  <si>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</si>
  <si>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</si>
  <si>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</si>
  <si>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</si>
  <si>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</si>
  <si>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</si>
  <si>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</si>
  <si>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</si>
  <si>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</si>
  <si>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</si>
  <si>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</si>
  <si>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</si>
  <si>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</si>
  <si>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</si>
  <si>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</si>
  <si>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jo e livro</t>
  </si>
  <si>
    <t>acai</t>
  </si>
  <si>
    <t>camisa campeonato</t>
  </si>
  <si>
    <t>gasolina pra são joao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</si>
</sst>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2246.5699999999997</c:v>
                </c:pt>
                <c:pt idx="1">
                  <c:v>2281.5499999999997</c:v>
                </c:pt>
                <c:pt idx="2">
                  <c:v>2080.7699999999995</c:v>
                </c:pt>
                <c:pt idx="3">
                  <c:v>2542.5399999999995</c:v>
                </c:pt>
                <c:pt idx="4">
                  <c:v>1642.4799999999996</c:v>
                </c:pt>
                <c:pt idx="5">
                  <c:v>1642.4799999999996</c:v>
                </c:pt>
                <c:pt idx="6">
                  <c:v>1642.4799999999996</c:v>
                </c:pt>
                <c:pt idx="7">
                  <c:v>1642.4799999999996</c:v>
                </c:pt>
                <c:pt idx="8">
                  <c:v>1642.4799999999996</c:v>
                </c:pt>
                <c:pt idx="9">
                  <c:v>1642.4799999999996</c:v>
                </c:pt>
                <c:pt idx="10">
                  <c:v>1642.4799999999996</c:v>
                </c:pt>
                <c:pt idx="11">
                  <c:v>1642.4799999999996</c:v>
                </c:pt>
              </c:numCache>
            </c:numRef>
          </c:val>
        </c:ser>
        <c:ser>
          <c:idx val="3"/>
          <c:order val="1"/>
          <c:tx>
            <c:strRef>
              <c:f>Anual!$B$8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Anual!$C$8:$N$8</c:f>
              <c:numCache>
                <c:formatCode>_("R$"* #,##0.00_);_("R$"* \(#,##0.00\);_("R$"* "-"??_);_(@_)</c:formatCode>
                <c:ptCount val="12"/>
                <c:pt idx="0">
                  <c:v>905.0200000000001</c:v>
                </c:pt>
                <c:pt idx="1">
                  <c:v>923.78</c:v>
                </c:pt>
                <c:pt idx="2">
                  <c:v>1638.23</c:v>
                </c:pt>
                <c:pt idx="3">
                  <c:v>900.06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Anual!$B$9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Anual!$C$9:$N$9</c:f>
              <c:numCache>
                <c:formatCode>_("R$"* #,##0.00_);_("R$"* \(#,##0.00\);_("R$"* "-"??_);_(@_)</c:formatCode>
                <c:ptCount val="12"/>
                <c:pt idx="0">
                  <c:v>1341.5499999999997</c:v>
                </c:pt>
                <c:pt idx="1">
                  <c:v>1357.7699999999998</c:v>
                </c:pt>
                <c:pt idx="2">
                  <c:v>442.53999999999951</c:v>
                </c:pt>
                <c:pt idx="3">
                  <c:v>1642.4799999999996</c:v>
                </c:pt>
                <c:pt idx="4">
                  <c:v>1642.4799999999996</c:v>
                </c:pt>
                <c:pt idx="5">
                  <c:v>1642.4799999999996</c:v>
                </c:pt>
                <c:pt idx="6">
                  <c:v>1642.4799999999996</c:v>
                </c:pt>
                <c:pt idx="7">
                  <c:v>1642.4799999999996</c:v>
                </c:pt>
                <c:pt idx="8">
                  <c:v>1642.4799999999996</c:v>
                </c:pt>
                <c:pt idx="9">
                  <c:v>1642.4799999999996</c:v>
                </c:pt>
                <c:pt idx="10">
                  <c:v>1642.4799999999996</c:v>
                </c:pt>
                <c:pt idx="11">
                  <c:v>1642.4799999999996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2067426848"/>
        <c:axId val="-2067414336"/>
      </c:barChart>
      <c:catAx>
        <c:axId val="-206742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67414336"/>
        <c:crosses val="autoZero"/>
        <c:auto val="1"/>
        <c:lblAlgn val="ctr"/>
        <c:lblOffset val="100"/>
        <c:noMultiLvlLbl val="0"/>
      </c:catAx>
      <c:valAx>
        <c:axId val="-206741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0674268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Anual!$F$27:$F$37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Anual!$G$27:$G$37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293.3</c:v>
                </c:pt>
                <c:pt idx="2">
                  <c:v>0</c:v>
                </c:pt>
                <c:pt idx="3">
                  <c:v>0</c:v>
                </c:pt>
                <c:pt idx="4">
                  <c:v>220.5</c:v>
                </c:pt>
                <c:pt idx="5">
                  <c:v>260</c:v>
                </c:pt>
                <c:pt idx="6">
                  <c:v>40</c:v>
                </c:pt>
                <c:pt idx="7">
                  <c:v>730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5"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0.8554687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2246.5699999999997</v>
      </c>
      <c r="H3" s="116"/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103.33</v>
      </c>
      <c r="F4" s="37">
        <f>SUM(F11:F32)</f>
        <v>568.0200000000001</v>
      </c>
      <c r="H4" t="s">
        <v>164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>
        <v>700</v>
      </c>
      <c r="F5" s="93">
        <f>D4</f>
        <v>103.33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337</v>
      </c>
      <c r="I6" s="14">
        <v>46026</v>
      </c>
      <c r="K6" s="138" t="s">
        <v>193</v>
      </c>
      <c r="L6" s="139"/>
    </row>
    <row r="7" spans="2:16" ht="15.75" thickBot="1" x14ac:dyDescent="0.3">
      <c r="B7" s="8"/>
      <c r="C7" s="9"/>
      <c r="D7" s="28"/>
      <c r="F7" s="39">
        <f>F3-F4-F6</f>
        <v>1341.5499999999997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157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158</v>
      </c>
      <c r="N10" s="90">
        <v>46044</v>
      </c>
      <c r="O10" s="85" t="s">
        <v>159</v>
      </c>
      <c r="P10" s="55">
        <v>50</v>
      </c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55">
        <v>30</v>
      </c>
      <c r="M11" s="72" t="s">
        <v>162</v>
      </c>
      <c r="N11" s="91">
        <v>46048</v>
      </c>
      <c r="O11" s="82" t="s">
        <v>163</v>
      </c>
      <c r="P11" s="56">
        <v>53.33</v>
      </c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135</v>
      </c>
      <c r="D16" s="7" t="s">
        <v>143</v>
      </c>
      <c r="E16" s="7" t="s">
        <v>136</v>
      </c>
      <c r="F16" s="34">
        <v>24</v>
      </c>
      <c r="H16" s="19">
        <v>46038</v>
      </c>
      <c r="I16" s="13" t="s">
        <v>107</v>
      </c>
      <c r="J16" s="1" t="s">
        <v>155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27</v>
      </c>
      <c r="D17" s="7" t="s">
        <v>83</v>
      </c>
      <c r="E17" s="7" t="s">
        <v>156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27</v>
      </c>
      <c r="D18" s="7" t="s">
        <v>53</v>
      </c>
      <c r="E18" s="7" t="s">
        <v>160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133</v>
      </c>
      <c r="D19" s="7" t="s">
        <v>142</v>
      </c>
      <c r="E19" s="7" t="s">
        <v>161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90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217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83</v>
      </c>
      <c r="D51" s="64">
        <f t="shared" si="0"/>
        <v>10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63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32</v>
      </c>
      <c r="D59" s="64">
        <f t="shared" si="0"/>
        <v>30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42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88"/>
  <sheetViews>
    <sheetView showGridLines="0" topLeftCell="D1" zoomScale="85" zoomScaleNormal="85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2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>
        <v>740</v>
      </c>
      <c r="F3" s="38">
        <f>SUM(D3,D5,D6,D7,D4)</f>
        <v>2281.5499999999997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200</v>
      </c>
      <c r="F4" s="37">
        <f>SUM(F11:F32)</f>
        <v>561.57999999999993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200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362.2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Jan!F7</f>
        <v>1341.5499999999997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46081</v>
      </c>
      <c r="O10" s="85" t="s">
        <v>177</v>
      </c>
      <c r="P10" s="55">
        <v>200</v>
      </c>
    </row>
    <row r="11" spans="2:16" x14ac:dyDescent="0.25">
      <c r="B11" s="21">
        <v>46064</v>
      </c>
      <c r="C11" s="16" t="s">
        <v>27</v>
      </c>
      <c r="D11" s="16" t="s">
        <v>53</v>
      </c>
      <c r="E11" s="16" t="s">
        <v>169</v>
      </c>
      <c r="F11" s="33">
        <f>39+135</f>
        <v>174</v>
      </c>
      <c r="H11" s="18">
        <v>46054</v>
      </c>
      <c r="I11" s="13" t="s">
        <v>112</v>
      </c>
      <c r="J11" s="13" t="s">
        <v>165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24</v>
      </c>
      <c r="D12" s="7" t="s">
        <v>25</v>
      </c>
      <c r="E12" s="7" t="s">
        <v>172</v>
      </c>
      <c r="F12" s="34">
        <v>238.42</v>
      </c>
      <c r="H12" s="19">
        <v>46055</v>
      </c>
      <c r="I12" s="13" t="s">
        <v>110</v>
      </c>
      <c r="J12" s="1" t="s">
        <v>166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24</v>
      </c>
      <c r="D13" s="7" t="s">
        <v>88</v>
      </c>
      <c r="E13" s="7" t="s">
        <v>173</v>
      </c>
      <c r="F13" s="34">
        <v>57.92</v>
      </c>
      <c r="H13" s="19">
        <v>46062</v>
      </c>
      <c r="I13" s="13" t="s">
        <v>113</v>
      </c>
      <c r="J13" s="1" t="s">
        <v>167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27</v>
      </c>
      <c r="D14" s="7" t="s">
        <v>53</v>
      </c>
      <c r="E14" s="7" t="s">
        <v>174</v>
      </c>
      <c r="F14" s="34">
        <f>37.14+15.1</f>
        <v>52.24</v>
      </c>
      <c r="H14" s="19">
        <v>46062</v>
      </c>
      <c r="I14" s="13" t="s">
        <v>113</v>
      </c>
      <c r="J14" s="1" t="s">
        <v>168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40</v>
      </c>
      <c r="E15" s="7" t="s">
        <v>175</v>
      </c>
      <c r="F15" s="34">
        <v>39</v>
      </c>
      <c r="H15" s="19">
        <v>46063</v>
      </c>
      <c r="I15" s="13" t="s">
        <v>107</v>
      </c>
      <c r="J15" s="1" t="s">
        <v>170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107</v>
      </c>
      <c r="J16" s="1" t="s">
        <v>171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107</v>
      </c>
      <c r="J17" s="1" t="s">
        <v>136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52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213.5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57.92</v>
      </c>
    </row>
    <row r="63" spans="2:4" x14ac:dyDescent="0.25">
      <c r="C63" s="63" t="s">
        <v>25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88"/>
  <sheetViews>
    <sheetView showGridLines="0" zoomScale="85" zoomScaleNormal="85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2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>
        <v>500</v>
      </c>
      <c r="F3" s="38">
        <f>SUM(D3,D5,D6,D7,D4)</f>
        <v>2080.7699999999995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1203.6300000000001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>
        <v>223</v>
      </c>
      <c r="F5" s="93">
        <f>D4</f>
        <v>0</v>
      </c>
      <c r="I5" s="17" t="s">
        <v>7</v>
      </c>
      <c r="K5">
        <f>405/6</f>
        <v>67.5</v>
      </c>
    </row>
    <row r="6" spans="2:16" ht="16.5" thickBot="1" x14ac:dyDescent="0.3">
      <c r="B6" s="24" t="s">
        <v>127</v>
      </c>
      <c r="C6" s="25"/>
      <c r="D6" s="27"/>
      <c r="F6" s="36">
        <f>SUM(K11:K22)</f>
        <v>434.6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Fev!F7</f>
        <v>1357.7699999999998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78</v>
      </c>
      <c r="D11" s="16" t="s">
        <v>91</v>
      </c>
      <c r="E11" s="16" t="s">
        <v>178</v>
      </c>
      <c r="F11" s="33">
        <v>34.450000000000003</v>
      </c>
      <c r="H11" s="18">
        <v>46084</v>
      </c>
      <c r="I11" s="13" t="s">
        <v>110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24</v>
      </c>
      <c r="D12" s="7" t="s">
        <v>88</v>
      </c>
      <c r="E12" s="7" t="s">
        <v>179</v>
      </c>
      <c r="F12" s="34">
        <v>210</v>
      </c>
      <c r="H12" s="19">
        <v>46088</v>
      </c>
      <c r="I12" s="13" t="s">
        <v>107</v>
      </c>
      <c r="J12" s="1" t="s">
        <v>170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80</v>
      </c>
      <c r="E13" s="7" t="s">
        <v>180</v>
      </c>
      <c r="F13" s="34">
        <f>8.44*2</f>
        <v>16.88</v>
      </c>
      <c r="H13" s="19">
        <v>46088</v>
      </c>
      <c r="I13" s="13" t="s">
        <v>106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80</v>
      </c>
      <c r="E14" s="7" t="s">
        <v>175</v>
      </c>
      <c r="F14" s="34">
        <v>31</v>
      </c>
      <c r="H14" s="19">
        <v>46089</v>
      </c>
      <c r="I14" s="13" t="s">
        <v>111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27</v>
      </c>
      <c r="D15" s="7" t="s">
        <v>47</v>
      </c>
      <c r="E15" s="7" t="s">
        <v>181</v>
      </c>
      <c r="F15" s="34">
        <v>19.3</v>
      </c>
      <c r="H15" s="19">
        <v>46099</v>
      </c>
      <c r="I15" s="13" t="s">
        <v>107</v>
      </c>
      <c r="J15" s="1" t="s">
        <v>136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42</v>
      </c>
      <c r="D16" s="7" t="s">
        <v>105</v>
      </c>
      <c r="E16" s="7" t="s">
        <v>182</v>
      </c>
      <c r="F16" s="34">
        <v>880</v>
      </c>
      <c r="H16" s="19">
        <v>46091</v>
      </c>
      <c r="I16" s="13" t="s">
        <v>113</v>
      </c>
      <c r="J16" s="1" t="s">
        <v>167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133</v>
      </c>
      <c r="D17" s="7" t="s">
        <v>75</v>
      </c>
      <c r="E17" s="7" t="s">
        <v>183</v>
      </c>
      <c r="F17" s="34">
        <v>12</v>
      </c>
      <c r="H17" s="19">
        <v>46103</v>
      </c>
      <c r="I17" s="13" t="s">
        <v>107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140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75</v>
      </c>
      <c r="D36" s="64">
        <f t="shared" ref="D36:D88" si="0">SUMIF($D$11:$D$32,C36,$F$11:$F$32)</f>
        <v>12</v>
      </c>
      <c r="H36" s="74" t="s">
        <v>107</v>
      </c>
      <c r="I36" s="64">
        <f t="shared" ref="I36:I45" si="1">SUMIF($I$11:$I$22,H36,$K$11:$K$22)</f>
        <v>114.3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50</v>
      </c>
    </row>
    <row r="41" spans="2:9" x14ac:dyDescent="0.25">
      <c r="B41" s="67" t="s">
        <v>21</v>
      </c>
      <c r="C41" s="61" t="s">
        <v>80</v>
      </c>
      <c r="D41" s="62">
        <f t="shared" si="0"/>
        <v>47.879999999999995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149.5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19.3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210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34.450000000000003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880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88"/>
  <sheetViews>
    <sheetView showGridLines="0" zoomScale="85" zoomScaleNormal="85" workbookViewId="0">
      <selection activeCell="L7" sqref="L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9.28515625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2.42578125" bestFit="1" customWidth="1"/>
    <col min="12" max="12" width="14.5703125" bestFit="1" customWidth="1"/>
    <col min="13" max="13" width="10.85546875" customWidth="1"/>
    <col min="14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>
        <v>2100</v>
      </c>
      <c r="F3" s="38">
        <f>SUM(D3,D5,D6,D7,D4)</f>
        <v>2542.5399999999995</v>
      </c>
      <c r="I3" s="11" t="s">
        <v>5</v>
      </c>
      <c r="K3" s="117" t="s">
        <v>188</v>
      </c>
      <c r="L3" s="118">
        <v>1385.57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390.06</v>
      </c>
      <c r="I4" s="15">
        <f ca="1">TODAY()</f>
        <v>46133</v>
      </c>
      <c r="K4" s="117" t="s">
        <v>189</v>
      </c>
      <c r="L4" s="118">
        <v>1185.57</v>
      </c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  <c r="K5" t="s">
        <v>184</v>
      </c>
    </row>
    <row r="6" spans="2:16" ht="16.5" thickBot="1" x14ac:dyDescent="0.3">
      <c r="B6" s="24" t="s">
        <v>127</v>
      </c>
      <c r="C6" s="25"/>
      <c r="D6" s="27"/>
      <c r="F6" s="36">
        <f>SUM(K11:K22)</f>
        <v>510</v>
      </c>
      <c r="I6" s="14">
        <v>46123</v>
      </c>
      <c r="K6" s="138" t="s">
        <v>193</v>
      </c>
      <c r="L6" s="139">
        <f>274.72-67.7-23.36-48-48.5</f>
        <v>87.160000000000025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46118</v>
      </c>
      <c r="C11" s="16" t="s">
        <v>34</v>
      </c>
      <c r="D11" s="16" t="s">
        <v>75</v>
      </c>
      <c r="E11" s="16" t="s">
        <v>186</v>
      </c>
      <c r="F11" s="33">
        <v>17.5</v>
      </c>
      <c r="H11" s="18">
        <v>46114</v>
      </c>
      <c r="I11" s="13" t="s">
        <v>110</v>
      </c>
      <c r="J11" s="13"/>
      <c r="K11" s="55">
        <v>78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34</v>
      </c>
      <c r="D12" s="7" t="s">
        <v>75</v>
      </c>
      <c r="E12" s="7" t="s">
        <v>187</v>
      </c>
      <c r="F12" s="34">
        <v>30</v>
      </c>
      <c r="H12" s="19">
        <v>46114</v>
      </c>
      <c r="I12" s="13" t="s">
        <v>107</v>
      </c>
      <c r="J12" s="1" t="s">
        <v>185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192</v>
      </c>
      <c r="F13" s="34">
        <v>155</v>
      </c>
      <c r="H13" s="19">
        <v>46114</v>
      </c>
      <c r="I13" s="13" t="s">
        <v>107</v>
      </c>
      <c r="J13" s="1" t="s">
        <v>170</v>
      </c>
      <c r="K13" s="56">
        <v>7</v>
      </c>
      <c r="M13" s="72"/>
      <c r="N13" s="91"/>
      <c r="O13" s="82"/>
      <c r="P13" s="56"/>
    </row>
    <row r="14" spans="2:16" x14ac:dyDescent="0.25">
      <c r="B14" s="22">
        <v>46124</v>
      </c>
      <c r="C14" s="7" t="s">
        <v>27</v>
      </c>
      <c r="D14" s="7" t="s">
        <v>47</v>
      </c>
      <c r="E14" s="7" t="s">
        <v>194</v>
      </c>
      <c r="F14" s="34">
        <f>3.78+1.78+62.14</f>
        <v>67.7</v>
      </c>
      <c r="H14" s="19">
        <v>46123</v>
      </c>
      <c r="I14" s="13" t="s">
        <v>111</v>
      </c>
      <c r="J14" s="1" t="s">
        <v>191</v>
      </c>
      <c r="K14" s="56">
        <v>210</v>
      </c>
      <c r="M14" s="72"/>
      <c r="N14" s="91"/>
      <c r="O14" s="82"/>
      <c r="P14" s="56"/>
    </row>
    <row r="15" spans="2:16" x14ac:dyDescent="0.25">
      <c r="B15" s="22">
        <v>46124</v>
      </c>
      <c r="C15" s="7" t="s">
        <v>34</v>
      </c>
      <c r="D15" s="7" t="s">
        <v>115</v>
      </c>
      <c r="E15" s="7" t="s">
        <v>195</v>
      </c>
      <c r="F15" s="34">
        <v>23.36</v>
      </c>
      <c r="H15" s="19">
        <v>46123</v>
      </c>
      <c r="I15" s="13" t="s">
        <v>113</v>
      </c>
      <c r="J15" s="1" t="s">
        <v>54</v>
      </c>
      <c r="K15" s="56">
        <v>150</v>
      </c>
      <c r="M15" s="72"/>
      <c r="N15" s="91"/>
      <c r="O15" s="82"/>
      <c r="P15" s="56"/>
    </row>
    <row r="16" spans="2:16" x14ac:dyDescent="0.25">
      <c r="B16" s="22">
        <v>46132</v>
      </c>
      <c r="C16" s="7" t="s">
        <v>27</v>
      </c>
      <c r="D16" s="7" t="s">
        <v>47</v>
      </c>
      <c r="E16" s="7" t="s">
        <v>196</v>
      </c>
      <c r="F16" s="34">
        <v>48</v>
      </c>
      <c r="H16" s="19">
        <v>46130</v>
      </c>
      <c r="I16" s="13" t="s">
        <v>140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46133</v>
      </c>
      <c r="C17" s="7" t="s">
        <v>24</v>
      </c>
      <c r="D17" s="7" t="s">
        <v>88</v>
      </c>
      <c r="E17" s="7" t="s">
        <v>197</v>
      </c>
      <c r="F17" s="34">
        <v>48.5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510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23.36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70.86</v>
      </c>
      <c r="C36" s="63" t="s">
        <v>75</v>
      </c>
      <c r="D36" s="64">
        <f t="shared" ref="D36:D88" si="0">SUMIF($D$11:$D$32,C36,$F$11:$F$32)</f>
        <v>47.5</v>
      </c>
      <c r="H36" s="74" t="s">
        <v>107</v>
      </c>
      <c r="I36" s="64">
        <f t="shared" ref="I36:I45" si="1">SUMIF($I$11:$I$22,H36,$K$11:$K$22)</f>
        <v>37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78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210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155</v>
      </c>
      <c r="C42" s="63" t="s">
        <v>22</v>
      </c>
      <c r="D42" s="64">
        <f t="shared" si="0"/>
        <v>155</v>
      </c>
      <c r="H42" s="74" t="s">
        <v>113</v>
      </c>
      <c r="I42" s="64">
        <f t="shared" si="1"/>
        <v>150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115.7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115.7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48.5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48.5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P88"/>
  <sheetViews>
    <sheetView showGridLines="0" tabSelected="1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4.5703125" bestFit="1" customWidth="1"/>
    <col min="5" max="5" width="9.28515625" bestFit="1" customWidth="1"/>
    <col min="6" max="6" width="14.570312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Abr!F7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Mai!F7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Jun!F7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Jul!F7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Ago!F7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Set!F7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38" t="s">
        <v>193</v>
      </c>
      <c r="L6" s="139"/>
    </row>
    <row r="7" spans="2:16" ht="15.75" thickBot="1" x14ac:dyDescent="0.3">
      <c r="B7" s="8" t="s">
        <v>15</v>
      </c>
      <c r="C7" s="9"/>
      <c r="D7" s="28">
        <f>Out!F7</f>
        <v>1642.4799999999996</v>
      </c>
      <c r="F7" s="39">
        <f>F3-F4-F6</f>
        <v>1642.4799999999996</v>
      </c>
    </row>
    <row r="8" spans="2:16" ht="15.75" thickBot="1" x14ac:dyDescent="0.3"/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88"/>
  <sheetViews>
    <sheetView showGridLines="0" zoomScaleNormal="10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0.8554687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44"/>
      <c r="I2" s="144"/>
      <c r="J2" s="144"/>
      <c r="K2" s="144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1642.4799999999996</v>
      </c>
      <c r="I3" s="11" t="s">
        <v>5</v>
      </c>
      <c r="K3" s="117" t="s">
        <v>188</v>
      </c>
      <c r="L3" s="118"/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46133</v>
      </c>
      <c r="K4" s="117" t="s">
        <v>189</v>
      </c>
      <c r="L4" s="118"/>
      <c r="N4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  <c r="N5"/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K6" s="138" t="s">
        <v>193</v>
      </c>
      <c r="L6" s="139"/>
      <c r="N6"/>
    </row>
    <row r="7" spans="2:16" ht="15.75" thickBot="1" x14ac:dyDescent="0.3">
      <c r="B7" s="8" t="s">
        <v>15</v>
      </c>
      <c r="C7" s="9"/>
      <c r="D7" s="28">
        <f>Nov!F7</f>
        <v>1642.4799999999996</v>
      </c>
      <c r="F7" s="39">
        <f>F3-F4-F6</f>
        <v>1642.4799999999996</v>
      </c>
      <c r="N7"/>
    </row>
    <row r="8" spans="2:16" ht="15.75" thickBot="1" x14ac:dyDescent="0.3">
      <c r="N8"/>
    </row>
    <row r="9" spans="2:16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79"/>
  <sheetViews>
    <sheetView showGridLines="0" zoomScale="85" zoomScaleNormal="85" workbookViewId="0">
      <selection activeCell="O8" sqref="O8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57</v>
      </c>
      <c r="C2" s="44" t="s">
        <v>58</v>
      </c>
      <c r="D2" s="45" t="s">
        <v>14</v>
      </c>
      <c r="E2" s="45" t="s">
        <v>59</v>
      </c>
      <c r="F2" s="45" t="s">
        <v>60</v>
      </c>
      <c r="G2" s="45" t="s">
        <v>61</v>
      </c>
      <c r="H2" s="45" t="s">
        <v>62</v>
      </c>
      <c r="I2" s="45" t="s">
        <v>63</v>
      </c>
      <c r="J2" s="45" t="s">
        <v>64</v>
      </c>
      <c r="K2" s="45" t="s">
        <v>65</v>
      </c>
      <c r="L2" s="45" t="s">
        <v>66</v>
      </c>
      <c r="M2" s="45" t="s">
        <v>67</v>
      </c>
      <c r="N2" s="46" t="s">
        <v>68</v>
      </c>
      <c r="O2" s="46" t="s">
        <v>129</v>
      </c>
    </row>
    <row r="3" spans="2:15" ht="15.75" x14ac:dyDescent="0.25">
      <c r="B3" s="41" t="s">
        <v>69</v>
      </c>
      <c r="C3" s="123">
        <f>Jan!$F$3</f>
        <v>2246.5699999999997</v>
      </c>
      <c r="D3" s="124">
        <f>Fev!$F$3</f>
        <v>2281.5499999999997</v>
      </c>
      <c r="E3" s="124">
        <f>Mar!$F$3</f>
        <v>2080.7699999999995</v>
      </c>
      <c r="F3" s="124">
        <f>Abr!$F$3</f>
        <v>2542.5399999999995</v>
      </c>
      <c r="G3" s="124">
        <f>Mai!$F$3</f>
        <v>1642.4799999999996</v>
      </c>
      <c r="H3" s="124">
        <f>Jun!$F$3</f>
        <v>1642.4799999999996</v>
      </c>
      <c r="I3" s="124">
        <f>Jul!$F$3</f>
        <v>1642.4799999999996</v>
      </c>
      <c r="J3" s="124">
        <f>Ago!$F$3</f>
        <v>1642.4799999999996</v>
      </c>
      <c r="K3" s="124">
        <f>Set!$F$3</f>
        <v>1642.4799999999996</v>
      </c>
      <c r="L3" s="124">
        <f>Out!$F$3</f>
        <v>1642.4799999999996</v>
      </c>
      <c r="M3" s="124">
        <f>Nov!$F$3</f>
        <v>1642.4799999999996</v>
      </c>
      <c r="N3" s="125">
        <f>Dez!$F$3</f>
        <v>1642.4799999999996</v>
      </c>
      <c r="O3" s="125">
        <f>SUM(C3:N3)</f>
        <v>22291.269999999993</v>
      </c>
    </row>
    <row r="4" spans="2:15" ht="15.75" x14ac:dyDescent="0.25">
      <c r="B4" s="42" t="s">
        <v>70</v>
      </c>
      <c r="C4" s="126">
        <f>Jan!$F$4</f>
        <v>568.0200000000001</v>
      </c>
      <c r="D4" s="126">
        <f>Fev!$F$4</f>
        <v>561.57999999999993</v>
      </c>
      <c r="E4" s="126">
        <f>Mar!$F$4</f>
        <v>1203.6300000000001</v>
      </c>
      <c r="F4" s="126">
        <f>Abr!$F$4</f>
        <v>390.06</v>
      </c>
      <c r="G4" s="126">
        <f>Mai!$F$4</f>
        <v>0</v>
      </c>
      <c r="H4" s="126">
        <f>Jun!$F$4</f>
        <v>0</v>
      </c>
      <c r="I4" s="126">
        <f>Jul!$F$4</f>
        <v>0</v>
      </c>
      <c r="J4" s="126">
        <f>Ago!$F$4</f>
        <v>0</v>
      </c>
      <c r="K4" s="126">
        <f>Set!$F$4</f>
        <v>0</v>
      </c>
      <c r="L4" s="126">
        <f>Out!$F$4</f>
        <v>0</v>
      </c>
      <c r="M4" s="126">
        <f>Nov!$F$4</f>
        <v>0</v>
      </c>
      <c r="N4" s="127">
        <f>Dez!$F$4</f>
        <v>0</v>
      </c>
      <c r="O4" s="127">
        <f t="shared" ref="O4:O10" si="0">SUM(C4:N4)</f>
        <v>2723.29</v>
      </c>
    </row>
    <row r="5" spans="2:15" ht="15.75" x14ac:dyDescent="0.25">
      <c r="B5" s="42" t="s">
        <v>71</v>
      </c>
      <c r="C5" s="128">
        <f>Jan!$F$6</f>
        <v>337</v>
      </c>
      <c r="D5" s="128">
        <f>Fev!$F$6</f>
        <v>362.2</v>
      </c>
      <c r="E5" s="128">
        <f>Mar!$F$6</f>
        <v>434.6</v>
      </c>
      <c r="F5" s="128">
        <f>Abr!$F$6</f>
        <v>510</v>
      </c>
      <c r="G5" s="128">
        <f>Mai!$F$6</f>
        <v>0</v>
      </c>
      <c r="H5" s="128">
        <f>Jun!$F$6</f>
        <v>0</v>
      </c>
      <c r="I5" s="128">
        <f>Jul!$F$6</f>
        <v>0</v>
      </c>
      <c r="J5" s="128">
        <f>Ago!$F$6</f>
        <v>0</v>
      </c>
      <c r="K5" s="128">
        <f>Set!$F$6</f>
        <v>0</v>
      </c>
      <c r="L5" s="128">
        <f>Out!$F$6</f>
        <v>0</v>
      </c>
      <c r="M5" s="128">
        <f>Nov!$F$6</f>
        <v>0</v>
      </c>
      <c r="N5" s="129">
        <f>Dez!$F$6</f>
        <v>0</v>
      </c>
      <c r="O5" s="129">
        <f t="shared" si="0"/>
        <v>1643.8000000000002</v>
      </c>
    </row>
    <row r="6" spans="2:15" ht="15.75" x14ac:dyDescent="0.25">
      <c r="B6" s="42" t="s">
        <v>188</v>
      </c>
      <c r="C6" s="119">
        <f>Jan!$L$3</f>
        <v>0</v>
      </c>
      <c r="D6" s="119">
        <f>Fev!$L$3</f>
        <v>0</v>
      </c>
      <c r="E6" s="119">
        <f>Mar!$L$3</f>
        <v>0</v>
      </c>
      <c r="F6" s="119">
        <f>Abr!$L$3</f>
        <v>1385.57</v>
      </c>
      <c r="G6" s="119">
        <f>Mai!$L$3</f>
        <v>0</v>
      </c>
      <c r="H6" s="119">
        <f>Jun!$L$3</f>
        <v>0</v>
      </c>
      <c r="I6" s="119">
        <f>Jul!$L$3</f>
        <v>0</v>
      </c>
      <c r="J6" s="119">
        <f>Ago!$L$3</f>
        <v>0</v>
      </c>
      <c r="K6" s="119">
        <f>Set!$L$3</f>
        <v>0</v>
      </c>
      <c r="L6" s="119">
        <f>Out!$L$3</f>
        <v>0</v>
      </c>
      <c r="M6" s="119">
        <f>Nov!$L$3</f>
        <v>0</v>
      </c>
      <c r="N6" s="120">
        <f>Dez!$L$3</f>
        <v>0</v>
      </c>
      <c r="O6" s="130">
        <f>SUM(C6:N6)</f>
        <v>1385.57</v>
      </c>
    </row>
    <row r="7" spans="2:15" ht="15.75" x14ac:dyDescent="0.25">
      <c r="B7" s="42" t="s">
        <v>190</v>
      </c>
      <c r="C7" s="121">
        <f>Jan!$L$4</f>
        <v>0</v>
      </c>
      <c r="D7" s="121">
        <f>Fev!$L$4</f>
        <v>0</v>
      </c>
      <c r="E7" s="121">
        <f>Mar!$L$4</f>
        <v>0</v>
      </c>
      <c r="F7" s="121">
        <f>Abr!$L$4</f>
        <v>1185.57</v>
      </c>
      <c r="G7" s="121">
        <f>Mai!$L$4</f>
        <v>0</v>
      </c>
      <c r="H7" s="121">
        <f>Jun!$L$4</f>
        <v>0</v>
      </c>
      <c r="I7" s="121">
        <f>Jul!$L$4</f>
        <v>0</v>
      </c>
      <c r="J7" s="121">
        <f>Ago!$L$4</f>
        <v>0</v>
      </c>
      <c r="K7" s="121">
        <f>Set!$L$4</f>
        <v>0</v>
      </c>
      <c r="L7" s="121">
        <f>Out!$L$4</f>
        <v>0</v>
      </c>
      <c r="M7" s="121">
        <f>Nov!$L$4</f>
        <v>0</v>
      </c>
      <c r="N7" s="122">
        <f>Dez!$L$4</f>
        <v>0</v>
      </c>
      <c r="O7" s="131">
        <f>SUM(C7:N7)</f>
        <v>1185.57</v>
      </c>
    </row>
    <row r="8" spans="2:15" ht="15.75" x14ac:dyDescent="0.25">
      <c r="B8" s="42" t="s">
        <v>72</v>
      </c>
      <c r="C8" s="132">
        <f t="shared" ref="C8:N8" si="1">C4+C5</f>
        <v>905.0200000000001</v>
      </c>
      <c r="D8" s="132">
        <f t="shared" si="1"/>
        <v>923.78</v>
      </c>
      <c r="E8" s="132">
        <f t="shared" si="1"/>
        <v>1638.23</v>
      </c>
      <c r="F8" s="132">
        <f t="shared" si="1"/>
        <v>900.06</v>
      </c>
      <c r="G8" s="132">
        <f t="shared" si="1"/>
        <v>0</v>
      </c>
      <c r="H8" s="132">
        <f t="shared" si="1"/>
        <v>0</v>
      </c>
      <c r="I8" s="132">
        <f t="shared" si="1"/>
        <v>0</v>
      </c>
      <c r="J8" s="132">
        <f t="shared" si="1"/>
        <v>0</v>
      </c>
      <c r="K8" s="132">
        <f t="shared" si="1"/>
        <v>0</v>
      </c>
      <c r="L8" s="132">
        <f t="shared" si="1"/>
        <v>0</v>
      </c>
      <c r="M8" s="132">
        <f t="shared" si="1"/>
        <v>0</v>
      </c>
      <c r="N8" s="133">
        <f t="shared" si="1"/>
        <v>0</v>
      </c>
      <c r="O8" s="133">
        <f t="shared" si="0"/>
        <v>4367.09</v>
      </c>
    </row>
    <row r="9" spans="2:15" ht="15.75" x14ac:dyDescent="0.25">
      <c r="B9" s="42" t="s">
        <v>15</v>
      </c>
      <c r="C9" s="134">
        <f t="shared" ref="C9:N9" si="2">C3-C8</f>
        <v>1341.5499999999997</v>
      </c>
      <c r="D9" s="134">
        <f t="shared" si="2"/>
        <v>1357.7699999999998</v>
      </c>
      <c r="E9" s="134">
        <f t="shared" si="2"/>
        <v>442.53999999999951</v>
      </c>
      <c r="F9" s="134">
        <f t="shared" si="2"/>
        <v>1642.4799999999996</v>
      </c>
      <c r="G9" s="134">
        <f t="shared" si="2"/>
        <v>1642.4799999999996</v>
      </c>
      <c r="H9" s="134">
        <f t="shared" si="2"/>
        <v>1642.4799999999996</v>
      </c>
      <c r="I9" s="134">
        <f t="shared" si="2"/>
        <v>1642.4799999999996</v>
      </c>
      <c r="J9" s="134">
        <f t="shared" si="2"/>
        <v>1642.4799999999996</v>
      </c>
      <c r="K9" s="134">
        <f t="shared" si="2"/>
        <v>1642.4799999999996</v>
      </c>
      <c r="L9" s="134">
        <f t="shared" si="2"/>
        <v>1642.4799999999996</v>
      </c>
      <c r="M9" s="134">
        <f t="shared" si="2"/>
        <v>1642.4799999999996</v>
      </c>
      <c r="N9" s="135">
        <f t="shared" si="2"/>
        <v>1642.4799999999996</v>
      </c>
      <c r="O9" s="135">
        <f>N9</f>
        <v>1642.4799999999996</v>
      </c>
    </row>
    <row r="10" spans="2:15" ht="16.5" thickBot="1" x14ac:dyDescent="0.3">
      <c r="B10" s="94" t="s">
        <v>123</v>
      </c>
      <c r="C10" s="136">
        <f>Jan!D4</f>
        <v>103.33</v>
      </c>
      <c r="D10" s="136">
        <f>Fev!D4</f>
        <v>200</v>
      </c>
      <c r="E10" s="136">
        <f>Mar!D4</f>
        <v>0</v>
      </c>
      <c r="F10" s="136">
        <f>Abr!D4</f>
        <v>0</v>
      </c>
      <c r="G10" s="136">
        <f>Mai!D4</f>
        <v>0</v>
      </c>
      <c r="H10" s="136">
        <f>Jun!D4</f>
        <v>0</v>
      </c>
      <c r="I10" s="136">
        <f>Jul!D4</f>
        <v>0</v>
      </c>
      <c r="J10" s="136">
        <f>Ago!D4</f>
        <v>0</v>
      </c>
      <c r="K10" s="136">
        <f>Set!D4</f>
        <v>0</v>
      </c>
      <c r="L10" s="136">
        <f>Out!D4</f>
        <v>0</v>
      </c>
      <c r="M10" s="136">
        <f>Nov!D4</f>
        <v>0</v>
      </c>
      <c r="N10" s="137">
        <f>Dez!D4</f>
        <v>0</v>
      </c>
      <c r="O10" s="137">
        <f t="shared" si="0"/>
        <v>303.33</v>
      </c>
    </row>
    <row r="12" spans="2:15" ht="6" customHeight="1" x14ac:dyDescent="0.25"/>
    <row r="13" spans="2:15" ht="6" customHeight="1" x14ac:dyDescent="0.25"/>
    <row r="14" spans="2:15" ht="6" customHeight="1" thickBot="1" x14ac:dyDescent="0.3"/>
    <row r="15" spans="2:15" ht="15.75" thickBot="1" x14ac:dyDescent="0.3">
      <c r="B15" s="47" t="s">
        <v>57</v>
      </c>
      <c r="C15" s="44" t="s">
        <v>58</v>
      </c>
      <c r="D15" s="45" t="s">
        <v>14</v>
      </c>
      <c r="E15" s="45" t="s">
        <v>59</v>
      </c>
      <c r="F15" s="45" t="s">
        <v>60</v>
      </c>
      <c r="G15" s="45" t="s">
        <v>61</v>
      </c>
      <c r="H15" s="45" t="s">
        <v>62</v>
      </c>
      <c r="I15" s="45" t="s">
        <v>63</v>
      </c>
      <c r="J15" s="45" t="s">
        <v>64</v>
      </c>
      <c r="K15" s="45" t="s">
        <v>65</v>
      </c>
      <c r="L15" s="45" t="s">
        <v>66</v>
      </c>
      <c r="M15" s="45" t="s">
        <v>67</v>
      </c>
      <c r="N15" s="46" t="s">
        <v>68</v>
      </c>
      <c r="O15" s="46" t="s">
        <v>128</v>
      </c>
    </row>
    <row r="16" spans="2:15" x14ac:dyDescent="0.25">
      <c r="B16" s="96" t="s">
        <v>34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70.86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82.86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155</v>
      </c>
      <c r="G17" s="101">
        <f>Mai!$B$42</f>
        <v>0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2" si="3">SUM(C17:N17)</f>
        <v>265.57</v>
      </c>
    </row>
    <row r="18" spans="2:15" x14ac:dyDescent="0.25">
      <c r="B18" s="100" t="s">
        <v>27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115.7</v>
      </c>
      <c r="G18" s="101">
        <f>Mai!$B$51</f>
        <v>0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3"/>
        <v>455.19</v>
      </c>
    </row>
    <row r="19" spans="2:15" x14ac:dyDescent="0.25">
      <c r="B19" s="100" t="s">
        <v>24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48.5</v>
      </c>
      <c r="G19" s="101">
        <f>Mai!$B$59</f>
        <v>0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3"/>
        <v>626.83999999999992</v>
      </c>
    </row>
    <row r="20" spans="2:15" x14ac:dyDescent="0.25">
      <c r="B20" s="100" t="s">
        <v>78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3"/>
        <v>34.450000000000003</v>
      </c>
    </row>
    <row r="21" spans="2:15" x14ac:dyDescent="0.25">
      <c r="B21" s="100" t="s">
        <v>79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3"/>
        <v>0</v>
      </c>
    </row>
    <row r="22" spans="2:15" ht="15.75" thickBot="1" x14ac:dyDescent="0.3">
      <c r="B22" s="104" t="s">
        <v>42</v>
      </c>
      <c r="C22" s="105">
        <f>Jan!$B$83</f>
        <v>0</v>
      </c>
      <c r="D22" s="106">
        <f>Fev!$B$83</f>
        <v>0</v>
      </c>
      <c r="E22" s="105">
        <f>Mar!$B$83</f>
        <v>880</v>
      </c>
      <c r="F22" s="106">
        <f>Abr!$B$83</f>
        <v>0</v>
      </c>
      <c r="G22" s="105">
        <f>Mai!$B$83</f>
        <v>0</v>
      </c>
      <c r="H22" s="106">
        <f>Jun!$B$83</f>
        <v>0</v>
      </c>
      <c r="I22" s="105">
        <f>Jul!$B$83</f>
        <v>0</v>
      </c>
      <c r="J22" s="106">
        <f>Ago!$B$83</f>
        <v>0</v>
      </c>
      <c r="K22" s="105">
        <f>Set!$B$83</f>
        <v>0</v>
      </c>
      <c r="L22" s="106">
        <f>Out!$B$83</f>
        <v>0</v>
      </c>
      <c r="M22" s="105">
        <f>Nov!$B$83</f>
        <v>0</v>
      </c>
      <c r="N22" s="107">
        <f>Dez!$B$83</f>
        <v>0</v>
      </c>
      <c r="O22" s="110">
        <f t="shared" si="3"/>
        <v>880</v>
      </c>
    </row>
    <row r="25" spans="2:15" ht="15.75" thickBot="1" x14ac:dyDescent="0.3"/>
    <row r="26" spans="2:15" ht="15.75" thickBot="1" x14ac:dyDescent="0.3">
      <c r="B26" s="67" t="s">
        <v>34</v>
      </c>
      <c r="C26" s="61" t="s">
        <v>115</v>
      </c>
      <c r="D26" s="62">
        <f>SUBTOTAL(9,Fev!D35,Fev!D35,Mar!D35,Abr!D35,Mai!D35,Jun!D35,Jul!D35,Ago!D35,Set!D35,Out!D35,Nov!D35,Dez!D35)</f>
        <v>23.36</v>
      </c>
      <c r="F26"/>
      <c r="G26"/>
    </row>
    <row r="27" spans="2:15" ht="15.75" thickBot="1" x14ac:dyDescent="0.3">
      <c r="B27" s="68">
        <f>SUM(D26:D30)</f>
        <v>82.86</v>
      </c>
      <c r="C27" s="63" t="s">
        <v>75</v>
      </c>
      <c r="D27" s="64">
        <f>SUBTOTAL(9,Fev!D36,Fev!D36,Mar!D36,Abr!D36,Mai!D36,Jun!D36,Jul!D36,Ago!D36,Set!D36,Out!D36,Nov!D36,Dez!D36)</f>
        <v>59.5</v>
      </c>
      <c r="F27" s="73" t="s">
        <v>106</v>
      </c>
      <c r="G27" s="62">
        <f>SUBTOTAL(9,Jan!I35,Fev!I35,Mar!I35,Abr!I35,Mai!I35,Jun!I35,Jul!I35,Ago!I35,Set!I35,Out!I35,Nov!I35,Dez!I35)</f>
        <v>30</v>
      </c>
    </row>
    <row r="28" spans="2:15" x14ac:dyDescent="0.25">
      <c r="B28"/>
      <c r="C28" s="63" t="s">
        <v>76</v>
      </c>
      <c r="D28" s="64">
        <f>SUBTOTAL(9,Fev!D37,Fev!D37,Mar!D37,Abr!D37,Mai!D37,Jun!D37,Jul!D37,Ago!D37,Set!D37,Out!D37,Nov!D37,Dez!D37)</f>
        <v>0</v>
      </c>
      <c r="F28" s="74" t="s">
        <v>107</v>
      </c>
      <c r="G28" s="64">
        <f>SUBTOTAL(9,Jan!I36,Fev!I36,Mar!I36,Abr!I36,Mai!I36,Jun!I36,Jul!I36,Ago!I36,Set!I36,Out!I36,Nov!I36,Dez!I36)</f>
        <v>293.3</v>
      </c>
    </row>
    <row r="29" spans="2:15" x14ac:dyDescent="0.25">
      <c r="B29"/>
      <c r="C29" s="63" t="s">
        <v>35</v>
      </c>
      <c r="D29" s="64">
        <f>SUBTOTAL(9,Fev!D38,Fev!D38,Mar!D38,Abr!D38,Mai!D38,Jun!D38,Jul!D38,Ago!D38,Set!D38,Out!D38,Nov!D38,Dez!D38)</f>
        <v>0</v>
      </c>
      <c r="F29" s="74" t="s">
        <v>108</v>
      </c>
      <c r="G29" s="64">
        <f>SUBTOTAL(9,Jan!I37,Fev!I37,Mar!I37,Abr!I37,Mai!I37,Jun!I37,Jul!I37,Ago!I37,Set!I37,Out!I37,Nov!I37,Dez!I37)</f>
        <v>0</v>
      </c>
    </row>
    <row r="30" spans="2:15" x14ac:dyDescent="0.25">
      <c r="B30"/>
      <c r="C30" s="63"/>
      <c r="D30" s="64">
        <f>SUBTOTAL(9,Fev!D39,Fev!D39,Mar!D39,Abr!D39,Mai!D39,Jun!D39,Jul!D39,Ago!D39,Set!D39,Out!D39,Nov!D39,Dez!D39)</f>
        <v>0</v>
      </c>
      <c r="F30" s="74" t="s">
        <v>109</v>
      </c>
      <c r="G30" s="64">
        <f>SUBTOTAL(9,Jan!I38,Fev!I38,Mar!I38,Abr!I38,Mai!I38,Jun!I38,Jul!I38,Ago!I38,Set!I38,Out!I38,Nov!I38,Dez!I38)</f>
        <v>0</v>
      </c>
    </row>
    <row r="31" spans="2:15" ht="15.75" thickBot="1" x14ac:dyDescent="0.3">
      <c r="B31"/>
      <c r="C31" s="49"/>
      <c r="D31" s="49"/>
      <c r="F31" s="74" t="s">
        <v>110</v>
      </c>
      <c r="G31" s="64">
        <f>SUBTOTAL(9,Jan!I39,Fev!I39,Mar!I39,Abr!I39,Mai!I39,Jun!I39,Jul!I39,Ago!I39,Set!I39,Out!I39,Nov!I39,Dez!I39)</f>
        <v>220.5</v>
      </c>
    </row>
    <row r="32" spans="2:15" x14ac:dyDescent="0.25">
      <c r="B32" s="67" t="s">
        <v>21</v>
      </c>
      <c r="C32" s="61" t="s">
        <v>80</v>
      </c>
      <c r="D32" s="62">
        <f>SUBTOTAL(9,Fev!D41,Fev!D41,Mar!D41,Abr!D41,Mai!D41,Jun!D41,Jul!D41,Ago!D41,Set!D41,Out!D41,Nov!D41,Dez!D41)</f>
        <v>47.879999999999995</v>
      </c>
      <c r="F32" s="74" t="s">
        <v>111</v>
      </c>
      <c r="G32" s="64">
        <f>SUBTOTAL(9,Jan!I40,Fev!I40,Mar!I40,Abr!I40,Mai!I40,Jun!I40,Jul!I40,Ago!I40,Set!I40,Out!I40,Nov!I40,Dez!I40)</f>
        <v>260</v>
      </c>
    </row>
    <row r="33" spans="2:7" ht="15.75" thickBot="1" x14ac:dyDescent="0.3">
      <c r="B33" s="68">
        <f>SUM(D32:D39)</f>
        <v>280.88</v>
      </c>
      <c r="C33" s="63" t="s">
        <v>22</v>
      </c>
      <c r="D33" s="64">
        <f>SUBTOTAL(9,Fev!D42,Fev!D42,Mar!D42,Abr!D42,Mai!D42,Jun!D42,Jul!D42,Ago!D42,Set!D42,Out!D42,Nov!D42,Dez!D42)</f>
        <v>155</v>
      </c>
      <c r="F33" s="74" t="s">
        <v>112</v>
      </c>
      <c r="G33" s="64">
        <f>SUBTOTAL(9,Jan!I41,Fev!I41,Mar!I41,Abr!I41,Mai!I41,Jun!I41,Jul!I41,Ago!I41,Set!I41,Out!I41,Nov!I41,Dez!I41)</f>
        <v>40</v>
      </c>
    </row>
    <row r="34" spans="2:7" x14ac:dyDescent="0.25">
      <c r="B34"/>
      <c r="C34" s="63" t="s">
        <v>37</v>
      </c>
      <c r="D34" s="64">
        <f>SUBTOTAL(9,Fev!D43,Fev!D43,Mar!D43,Abr!D43,Mai!D43,Jun!D43,Jul!D43,Ago!D43,Set!D43,Out!D43,Nov!D43,Dez!D43)</f>
        <v>0</v>
      </c>
      <c r="F34" s="74" t="s">
        <v>113</v>
      </c>
      <c r="G34" s="64">
        <f>SUBTOTAL(9,Jan!I42,Fev!I42,Mar!I42,Abr!I42,Mai!I42,Jun!I42,Jul!I42,Ago!I42,Set!I42,Out!I42,Nov!I42,Dez!I42)</f>
        <v>730</v>
      </c>
    </row>
    <row r="35" spans="2:7" x14ac:dyDescent="0.25">
      <c r="B35"/>
      <c r="C35" s="63" t="s">
        <v>82</v>
      </c>
      <c r="D35" s="64">
        <f>SUBTOTAL(9,Fev!D44,Fev!D44,Mar!D44,Abr!D44,Mai!D44,Jun!D44,Jul!D44,Ago!D44,Set!D44,Out!D44,Nov!D44,Dez!D44)</f>
        <v>0</v>
      </c>
      <c r="F35" s="74" t="s">
        <v>79</v>
      </c>
      <c r="G35" s="64">
        <f>SUBTOTAL(9,Jan!I43,Fev!I43,Mar!I43,Abr!I43,Mai!I43,Jun!I43,Jul!I43,Ago!I43,Set!I43,Out!I43,Nov!I43,Dez!I43)</f>
        <v>0</v>
      </c>
    </row>
    <row r="36" spans="2:7" x14ac:dyDescent="0.25">
      <c r="B36"/>
      <c r="C36" s="63" t="s">
        <v>81</v>
      </c>
      <c r="D36" s="64">
        <f>SUBTOTAL(9,Fev!D45,Fev!D45,Mar!D45,Abr!D45,Mai!D45,Jun!D45,Jul!D45,Ago!D45,Set!D45,Out!D45,Nov!D45,Dez!D45)</f>
        <v>0</v>
      </c>
      <c r="F36" s="74" t="s">
        <v>114</v>
      </c>
      <c r="G36" s="64">
        <f>SUBTOTAL(9,Jan!I44,Fev!I44,Mar!I44,Abr!I44,Mai!I44,Jun!I44,Jul!I44,Ago!I44,Set!I44,Out!I44,Nov!I44,Dez!I44)</f>
        <v>0</v>
      </c>
    </row>
    <row r="37" spans="2:7" ht="15.75" thickBot="1" x14ac:dyDescent="0.3">
      <c r="B37"/>
      <c r="C37" s="63" t="s">
        <v>40</v>
      </c>
      <c r="D37" s="64">
        <f>SUBTOTAL(9,Fev!D46,Fev!D46,Mar!D46,Abr!D46,Mai!D46,Jun!D46,Jul!D46,Ago!D46,Set!D46,Out!D46,Nov!D46,Dez!D46)</f>
        <v>78</v>
      </c>
      <c r="F37" s="75"/>
      <c r="G37" s="66">
        <f>SUBTOTAL(9,Jan!I45,Fev!I45,Mar!I45,Abr!I45,Mai!I45,Jun!I45,Jul!I45,Ago!I45,Set!I45,Out!I45,Nov!I45,Dez!I45)</f>
        <v>0</v>
      </c>
    </row>
    <row r="38" spans="2:7" x14ac:dyDescent="0.25">
      <c r="B38"/>
      <c r="C38" s="69"/>
      <c r="D38" s="70">
        <f>SUBTOTAL(9,Fev!D47,Fev!D47,Mar!D47,Abr!D47,Mai!D47,Jun!D47,Jul!D47,Ago!D47,Set!D47,Out!D47,Nov!D47,Dez!D47)</f>
        <v>0</v>
      </c>
    </row>
    <row r="39" spans="2:7" ht="15.75" thickBot="1" x14ac:dyDescent="0.3">
      <c r="B39" s="76"/>
      <c r="C39" s="65"/>
      <c r="D39" s="66">
        <f>SUBTOTAL(9,Fev!D48,Fev!D48,Mar!D48,Abr!D48,Mai!D48,Jun!D48,Jul!D48,Ago!D48,Set!D48,Out!D48,Nov!D48,Dez!D48)</f>
        <v>0</v>
      </c>
    </row>
    <row r="40" spans="2:7" ht="15.75" thickBot="1" x14ac:dyDescent="0.3">
      <c r="B40"/>
      <c r="C40"/>
      <c r="D40"/>
    </row>
    <row r="41" spans="2:7" x14ac:dyDescent="0.25">
      <c r="B41" s="67" t="s">
        <v>27</v>
      </c>
      <c r="C41" s="61" t="s">
        <v>28</v>
      </c>
      <c r="D41" s="62">
        <f>SUBTOTAL(9,Fev!D50,Fev!D50,Mar!D50,Abr!D50,Mai!D50,Jun!D50,Jul!D50,Ago!D50,Set!D50,Out!D50,Nov!D50,Dez!D50)</f>
        <v>0</v>
      </c>
    </row>
    <row r="42" spans="2:7" ht="15.75" thickBot="1" x14ac:dyDescent="0.3">
      <c r="B42" s="68">
        <f>SUM(D41:D47)</f>
        <v>587.48</v>
      </c>
      <c r="C42" s="63" t="s">
        <v>83</v>
      </c>
      <c r="D42" s="64">
        <f>SUBTOTAL(9,Fev!D51,Fev!D51,Mar!D51,Abr!D51,Mai!D51,Jun!D51,Jul!D51,Ago!D51,Set!D51,Out!D51,Nov!D51,Dez!D51)</f>
        <v>0</v>
      </c>
    </row>
    <row r="43" spans="2:7" x14ac:dyDescent="0.25">
      <c r="B43"/>
      <c r="C43" s="63" t="s">
        <v>84</v>
      </c>
      <c r="D43" s="64">
        <f>SUBTOTAL(9,Fev!D52,Fev!D52,Mar!D52,Abr!D52,Mai!D52,Jun!D52,Jul!D52,Ago!D52,Set!D52,Out!D52,Nov!D52,Dez!D52)</f>
        <v>0</v>
      </c>
    </row>
    <row r="44" spans="2:7" x14ac:dyDescent="0.25">
      <c r="B44"/>
      <c r="C44" s="63" t="s">
        <v>47</v>
      </c>
      <c r="D44" s="64">
        <f>SUBTOTAL(9,Fev!D53,Fev!D53,Mar!D53,Abr!D53,Mai!D53,Jun!D53,Jul!D53,Ago!D53,Set!D53,Out!D53,Nov!D53,Dez!D53)</f>
        <v>135</v>
      </c>
    </row>
    <row r="45" spans="2:7" x14ac:dyDescent="0.25">
      <c r="B45"/>
      <c r="C45" s="63" t="s">
        <v>85</v>
      </c>
      <c r="D45" s="64">
        <f>SUBTOTAL(9,Fev!D54,Fev!D54,Mar!D54,Abr!D54,Mai!D54,Jun!D54,Jul!D54,Ago!D54,Set!D54,Out!D54,Nov!D54,Dez!D54)</f>
        <v>0</v>
      </c>
    </row>
    <row r="46" spans="2:7" x14ac:dyDescent="0.25">
      <c r="B46"/>
      <c r="C46" s="63" t="s">
        <v>53</v>
      </c>
      <c r="D46" s="64">
        <f>SUBTOTAL(9,Fev!D55,Fev!D55,Mar!D55,Abr!D55,Mai!D55,Jun!D55,Jul!D55,Ago!D55,Set!D55,Out!D55,Nov!D55,Dez!D55)</f>
        <v>452.48</v>
      </c>
    </row>
    <row r="47" spans="2:7" ht="15.75" thickBot="1" x14ac:dyDescent="0.3">
      <c r="B47"/>
      <c r="C47" s="65"/>
      <c r="D47" s="66">
        <f>SUBTOTAL(9,Fev!D56,Fev!D56,Mar!D56,Abr!D56,Mai!D56,Jun!D56,Jul!D56,Ago!D56,Set!D56,Out!D56,Nov!D56,Dez!D56)</f>
        <v>0</v>
      </c>
    </row>
    <row r="48" spans="2:7" ht="15.75" thickBot="1" x14ac:dyDescent="0.3">
      <c r="B48"/>
      <c r="C48"/>
      <c r="D48"/>
    </row>
    <row r="49" spans="2:4" x14ac:dyDescent="0.25">
      <c r="B49" s="67" t="s">
        <v>24</v>
      </c>
      <c r="C49" s="61" t="s">
        <v>116</v>
      </c>
      <c r="D49" s="62">
        <f>SUBTOTAL(9,Fev!D58,Fev!D58,Mar!D58,Abr!D58,Mai!D58,Jun!D58,Jul!D58,Ago!D58,Set!D58,Out!D58,Nov!D58,Dez!D58)</f>
        <v>0</v>
      </c>
    </row>
    <row r="50" spans="2:4" ht="15.75" thickBot="1" x14ac:dyDescent="0.3">
      <c r="B50" s="68">
        <f>SUM(D49:D55)</f>
        <v>851.18000000000006</v>
      </c>
      <c r="C50" s="63" t="s">
        <v>32</v>
      </c>
      <c r="D50" s="64">
        <f>SUBTOTAL(9,Fev!D59,Fev!D59,Mar!D59,Abr!D59,Mai!D59,Jun!D59,Jul!D59,Ago!D59,Set!D59,Out!D59,Nov!D59,Dez!D59)</f>
        <v>0</v>
      </c>
    </row>
    <row r="51" spans="2:4" x14ac:dyDescent="0.25">
      <c r="B51"/>
      <c r="C51" s="63" t="s">
        <v>86</v>
      </c>
      <c r="D51" s="64">
        <f>SUBTOTAL(9,Fev!D60,Fev!D60,Mar!D60,Abr!D60,Mai!D60,Jun!D60,Jul!D60,Ago!D60,Set!D60,Out!D60,Nov!D60,Dez!D60)</f>
        <v>0</v>
      </c>
    </row>
    <row r="52" spans="2:4" x14ac:dyDescent="0.25">
      <c r="B52"/>
      <c r="C52" s="63" t="s">
        <v>87</v>
      </c>
      <c r="D52" s="64">
        <f>SUBTOTAL(9,Fev!D61,Fev!D61,Mar!D61,Abr!D61,Mai!D61,Jun!D61,Jul!D61,Ago!D61,Set!D61,Out!D61,Nov!D61,Dez!D61)</f>
        <v>0</v>
      </c>
    </row>
    <row r="53" spans="2:4" x14ac:dyDescent="0.25">
      <c r="B53"/>
      <c r="C53" s="63" t="s">
        <v>88</v>
      </c>
      <c r="D53" s="64">
        <f>SUBTOTAL(9,Fev!D62,Fev!D62,Mar!D62,Abr!D62,Mai!D62,Jun!D62,Jul!D62,Ago!D62,Set!D62,Out!D62,Nov!D62,Dez!D62)</f>
        <v>374.34000000000003</v>
      </c>
    </row>
    <row r="54" spans="2:4" x14ac:dyDescent="0.25">
      <c r="B54"/>
      <c r="C54" s="63" t="s">
        <v>25</v>
      </c>
      <c r="D54" s="64">
        <f>SUBTOTAL(9,Fev!D63,Fev!D63,Mar!D63,Abr!D63,Mai!D63,Jun!D63,Jul!D63,Ago!D63,Set!D63,Out!D63,Nov!D63,Dez!D63)</f>
        <v>476.84</v>
      </c>
    </row>
    <row r="55" spans="2:4" ht="15.75" thickBot="1" x14ac:dyDescent="0.3">
      <c r="B55"/>
      <c r="C55" s="65"/>
      <c r="D55" s="66">
        <f>SUBTOTAL(9,Fev!D64,Fev!D64,Mar!D64,Abr!D64,Mai!D64,Jun!D64,Jul!D64,Ago!D64,Set!D64,Out!D64,Nov!D64,Dez!D64)</f>
        <v>0</v>
      </c>
    </row>
    <row r="56" spans="2:4" ht="15.75" thickBot="1" x14ac:dyDescent="0.3">
      <c r="B56"/>
      <c r="C56"/>
      <c r="D56"/>
    </row>
    <row r="57" spans="2:4" x14ac:dyDescent="0.25">
      <c r="B57" s="67" t="s">
        <v>78</v>
      </c>
      <c r="C57" s="61" t="s">
        <v>117</v>
      </c>
      <c r="D57" s="62">
        <f>SUBTOTAL(9,Fev!D66,Fev!D66,Mar!D66,Abr!D66,Mai!D66,Jun!D66,Jul!D66,Ago!D66,Set!D66,Out!D66,Nov!D66,Dez!D66)</f>
        <v>0</v>
      </c>
    </row>
    <row r="58" spans="2:4" ht="15.75" thickBot="1" x14ac:dyDescent="0.3">
      <c r="B58" s="68">
        <f>SUM(D57:D63)</f>
        <v>34.450000000000003</v>
      </c>
      <c r="C58" s="63" t="s">
        <v>90</v>
      </c>
      <c r="D58" s="64">
        <f>SUBTOTAL(9,Fev!D67,Fev!D67,Mar!D67,Abr!D67,Mai!D67,Jun!D67,Jul!D67,Ago!D67,Set!D67,Out!D67,Nov!D67,Dez!D67)</f>
        <v>0</v>
      </c>
    </row>
    <row r="59" spans="2:4" x14ac:dyDescent="0.25">
      <c r="B59"/>
      <c r="C59" s="63" t="s">
        <v>91</v>
      </c>
      <c r="D59" s="64">
        <f>SUBTOTAL(9,Fev!D68,Fev!D68,Mar!D68,Abr!D68,Mai!D68,Jun!D68,Jul!D68,Ago!D68,Set!D68,Out!D68,Nov!D68,Dez!D68)</f>
        <v>34.450000000000003</v>
      </c>
    </row>
    <row r="60" spans="2:4" x14ac:dyDescent="0.25">
      <c r="B60"/>
      <c r="C60" s="63" t="s">
        <v>118</v>
      </c>
      <c r="D60" s="64">
        <f>SUBTOTAL(9,Fev!D69,Fev!D69,Mar!D69,Abr!D69,Mai!D69,Jun!D69,Jul!D69,Ago!D69,Set!D69,Out!D69,Nov!D69,Dez!D69)</f>
        <v>0</v>
      </c>
    </row>
    <row r="61" spans="2:4" x14ac:dyDescent="0.25">
      <c r="B61"/>
      <c r="C61" s="63" t="s">
        <v>93</v>
      </c>
      <c r="D61" s="64">
        <f>SUBTOTAL(9,Fev!D70,Fev!D70,Mar!D70,Abr!D70,Mai!D70,Jun!D70,Jul!D70,Ago!D70,Set!D70,Out!D70,Nov!D70,Dez!D70)</f>
        <v>0</v>
      </c>
    </row>
    <row r="62" spans="2:4" x14ac:dyDescent="0.25">
      <c r="B62"/>
      <c r="C62" s="63" t="s">
        <v>94</v>
      </c>
      <c r="D62" s="64">
        <f>SUBTOTAL(9,Fev!D71,Fev!D71,Mar!D71,Abr!D71,Mai!D71,Jun!D71,Jul!D71,Ago!D71,Set!D71,Out!D71,Nov!D71,Dez!D71)</f>
        <v>0</v>
      </c>
    </row>
    <row r="63" spans="2:4" ht="15.75" thickBot="1" x14ac:dyDescent="0.3">
      <c r="B63"/>
      <c r="C63" s="65"/>
      <c r="D63" s="66">
        <f>SUBTOTAL(9,Fev!D72,Fev!D72,Mar!D72,Abr!D72,Mai!D72,Jun!D72,Jul!D72,Ago!D72,Set!D72,Out!D72,Nov!D72,Dez!D72)</f>
        <v>0</v>
      </c>
    </row>
    <row r="64" spans="2:4" ht="15.75" thickBot="1" x14ac:dyDescent="0.3">
      <c r="B64"/>
      <c r="C64"/>
    </row>
    <row r="65" spans="2:4" x14ac:dyDescent="0.25">
      <c r="B65" s="67" t="s">
        <v>79</v>
      </c>
      <c r="C65" s="61" t="s">
        <v>95</v>
      </c>
      <c r="D65" s="62">
        <f>SUBTOTAL(9,Fev!D74,Fev!D74,Mar!D74,Abr!D74,Mai!D74,Jun!D74,Jul!D74,Ago!D74,Set!D74,Out!D74,Nov!D74,Dez!D74)</f>
        <v>0</v>
      </c>
    </row>
    <row r="66" spans="2:4" ht="15.75" thickBot="1" x14ac:dyDescent="0.3">
      <c r="B66" s="68">
        <f>SUM(D65:D71)</f>
        <v>0</v>
      </c>
      <c r="C66" s="63" t="s">
        <v>96</v>
      </c>
      <c r="D66" s="64">
        <f>SUBTOTAL(9,Fev!D75,Fev!D75,Mar!D75,Abr!D75,Mai!D75,Jun!D75,Jul!D75,Ago!D75,Set!D75,Out!D75,Nov!D75,Dez!D75)</f>
        <v>0</v>
      </c>
    </row>
    <row r="67" spans="2:4" x14ac:dyDescent="0.25">
      <c r="B67"/>
      <c r="C67" s="63" t="s">
        <v>98</v>
      </c>
      <c r="D67" s="64">
        <f>SUBTOTAL(9,Fev!D76,Fev!D76,Mar!D76,Abr!D76,Mai!D76,Jun!D76,Jul!D76,Ago!D76,Set!D76,Out!D76,Nov!D76,Dez!D76)</f>
        <v>0</v>
      </c>
    </row>
    <row r="68" spans="2:4" x14ac:dyDescent="0.25">
      <c r="B68"/>
      <c r="C68" s="63" t="s">
        <v>100</v>
      </c>
      <c r="D68" s="64">
        <f>SUBTOTAL(9,Fev!D77,Fev!D77,Mar!D77,Abr!D77,Mai!D77,Jun!D77,Jul!D77,Ago!D77,Set!D77,Out!D77,Nov!D77,Dez!D77)</f>
        <v>0</v>
      </c>
    </row>
    <row r="69" spans="2:4" x14ac:dyDescent="0.25">
      <c r="B69"/>
      <c r="C69" s="63"/>
      <c r="D69" s="64">
        <f>SUBTOTAL(9,Fev!D78,Fev!D78,Mar!D78,Abr!D78,Mai!D78,Jun!D78,Jul!D78,Ago!D78,Set!D78,Out!D78,Nov!D78,Dez!D78)</f>
        <v>0</v>
      </c>
    </row>
    <row r="70" spans="2:4" x14ac:dyDescent="0.25">
      <c r="B70"/>
      <c r="C70" s="63"/>
      <c r="D70" s="64">
        <f>SUBTOTAL(9,Fev!D79,Fev!D79,Mar!D79,Abr!D79,Mai!D79,Jun!D79,Jul!D79,Ago!D79,Set!D79,Out!D79,Nov!D79,Dez!D79)</f>
        <v>0</v>
      </c>
    </row>
    <row r="71" spans="2:4" ht="15.75" thickBot="1" x14ac:dyDescent="0.3">
      <c r="B71"/>
      <c r="C71" s="65"/>
      <c r="D71" s="66">
        <f>SUBTOTAL(9,Fev!D80,Fev!D80,Mar!D80,Abr!D80,Mai!D80,Jun!D80,Jul!D80,Ago!D80,Set!D80,Out!D80,Nov!D80,Dez!D80)</f>
        <v>0</v>
      </c>
    </row>
    <row r="72" spans="2:4" ht="15.75" thickBot="1" x14ac:dyDescent="0.3">
      <c r="B72"/>
      <c r="C72"/>
    </row>
    <row r="73" spans="2:4" x14ac:dyDescent="0.25">
      <c r="B73" s="67" t="s">
        <v>42</v>
      </c>
      <c r="C73" s="61" t="s">
        <v>101</v>
      </c>
      <c r="D73" s="62">
        <f>SUBTOTAL(9,Fev!D82,Fev!D82,Mar!D82,Abr!D82,Mai!D82,Jun!D82,Jul!D82,Ago!D82,Set!D82,Out!D82,Nov!D82,Dez!D82)</f>
        <v>0</v>
      </c>
    </row>
    <row r="74" spans="2:4" ht="15.75" thickBot="1" x14ac:dyDescent="0.3">
      <c r="B74" s="68">
        <f>SUM(D73:D79)</f>
        <v>880</v>
      </c>
      <c r="C74" s="63" t="s">
        <v>102</v>
      </c>
      <c r="D74" s="64">
        <f>SUBTOTAL(9,Fev!D83,Fev!D83,Mar!D83,Abr!D83,Mai!D83,Jun!D83,Jul!D83,Ago!D83,Set!D83,Out!D83,Nov!D83,Dez!D83)</f>
        <v>0</v>
      </c>
    </row>
    <row r="75" spans="2:4" x14ac:dyDescent="0.25">
      <c r="B75"/>
      <c r="C75" s="63" t="s">
        <v>103</v>
      </c>
      <c r="D75" s="64">
        <f>SUBTOTAL(9,Fev!D84,Fev!D84,Mar!D84,Abr!D84,Mai!D84,Jun!D84,Jul!D84,Ago!D84,Set!D84,Out!D84,Nov!D84,Dez!D84)</f>
        <v>0</v>
      </c>
    </row>
    <row r="76" spans="2:4" x14ac:dyDescent="0.25">
      <c r="B76"/>
      <c r="C76" s="63" t="s">
        <v>104</v>
      </c>
      <c r="D76" s="64">
        <f>SUBTOTAL(9,Fev!D85,Fev!D85,Mar!D85,Abr!D85,Mai!D85,Jun!D85,Jul!D85,Ago!D85,Set!D85,Out!D85,Nov!D85,Dez!D85)</f>
        <v>0</v>
      </c>
    </row>
    <row r="77" spans="2:4" x14ac:dyDescent="0.25">
      <c r="B77"/>
      <c r="C77" s="63" t="s">
        <v>105</v>
      </c>
      <c r="D77" s="64">
        <f>SUBTOTAL(9,Fev!D86,Fev!D86,Mar!D86,Abr!D86,Mai!D86,Jun!D86,Jul!D86,Ago!D86,Set!D86,Out!D86,Nov!D86,Dez!D86)</f>
        <v>880</v>
      </c>
    </row>
    <row r="78" spans="2:4" x14ac:dyDescent="0.25">
      <c r="B78"/>
      <c r="C78" s="63" t="s">
        <v>43</v>
      </c>
      <c r="D78" s="64">
        <f>SUBTOTAL(9,Fev!D87,Fev!D87,Mar!D87,Abr!D87,Mai!D87,Jun!D87,Jul!D87,Ago!D87,Set!D87,Out!D87,Nov!D87,Dez!D87)</f>
        <v>0</v>
      </c>
    </row>
    <row r="79" spans="2:4" ht="15.75" thickBot="1" x14ac:dyDescent="0.3">
      <c r="B79"/>
      <c r="C79" s="65"/>
      <c r="D79" s="66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G1" zoomScaleNormal="100" workbookViewId="0">
      <selection activeCell="P13" sqref="P13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73</v>
      </c>
      <c r="N3" s="48" t="s">
        <v>74</v>
      </c>
      <c r="P3" s="52" t="s">
        <v>34</v>
      </c>
      <c r="R3" s="51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2" t="str">
        <f>P3</f>
        <v>Alimentação</v>
      </c>
      <c r="N4" s="50" t="s">
        <v>115</v>
      </c>
      <c r="P4" s="52" t="s">
        <v>21</v>
      </c>
      <c r="R4" s="51" t="s">
        <v>107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75</v>
      </c>
      <c r="P5" s="52" t="s">
        <v>27</v>
      </c>
      <c r="R5" s="51" t="s">
        <v>108</v>
      </c>
    </row>
    <row r="6" spans="2:18" x14ac:dyDescent="0.25">
      <c r="B6" s="24"/>
      <c r="C6" s="25"/>
      <c r="D6" s="27"/>
      <c r="F6" s="36">
        <f>SUM(K11:K22)</f>
        <v>0</v>
      </c>
      <c r="N6" s="50" t="s">
        <v>141</v>
      </c>
      <c r="P6" s="52" t="s">
        <v>77</v>
      </c>
      <c r="R6" s="51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0" t="s">
        <v>35</v>
      </c>
      <c r="P7" s="52" t="s">
        <v>24</v>
      </c>
      <c r="R7" s="51" t="s">
        <v>110</v>
      </c>
    </row>
    <row r="8" spans="2:18" ht="15.75" thickBot="1" x14ac:dyDescent="0.3">
      <c r="D8"/>
      <c r="N8" s="50" t="s">
        <v>142</v>
      </c>
      <c r="P8" s="52" t="s">
        <v>78</v>
      </c>
      <c r="R8" s="51" t="s">
        <v>111</v>
      </c>
    </row>
    <row r="9" spans="2:18" ht="15.75" thickBot="1" x14ac:dyDescent="0.3">
      <c r="B9" s="140" t="s">
        <v>8</v>
      </c>
      <c r="C9" s="141"/>
      <c r="D9" s="141"/>
      <c r="E9" s="141"/>
      <c r="F9" s="142"/>
      <c r="H9" s="143" t="s">
        <v>9</v>
      </c>
      <c r="I9" s="143"/>
      <c r="J9" s="143"/>
      <c r="K9" s="143"/>
      <c r="N9" s="49"/>
      <c r="P9" s="52" t="s">
        <v>79</v>
      </c>
      <c r="R9" s="51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80</v>
      </c>
      <c r="P10" s="52" t="s">
        <v>42</v>
      </c>
      <c r="R10" s="51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R11" s="51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37</v>
      </c>
      <c r="R12" s="51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144</v>
      </c>
      <c r="R13" s="51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47</v>
      </c>
    </row>
    <row r="23" spans="2:14" x14ac:dyDescent="0.25">
      <c r="B23" s="22"/>
      <c r="C23" s="7"/>
      <c r="D23" s="7"/>
      <c r="E23" s="7"/>
      <c r="F23" s="34"/>
      <c r="N23" s="50" t="s">
        <v>85</v>
      </c>
    </row>
    <row r="24" spans="2:14" x14ac:dyDescent="0.25">
      <c r="B24" s="22"/>
      <c r="C24" s="7"/>
      <c r="D24" s="7"/>
      <c r="E24" s="7"/>
      <c r="F24" s="34"/>
      <c r="N24" s="50" t="s">
        <v>53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119</v>
      </c>
    </row>
    <row r="30" spans="2:14" x14ac:dyDescent="0.25">
      <c r="B30" s="22"/>
      <c r="C30" s="7"/>
      <c r="D30" s="7"/>
      <c r="E30" s="7"/>
      <c r="F30" s="34"/>
      <c r="N30" s="50" t="s">
        <v>32</v>
      </c>
    </row>
    <row r="31" spans="2:14" x14ac:dyDescent="0.25">
      <c r="B31" s="22"/>
      <c r="C31" s="7"/>
      <c r="D31" s="7"/>
      <c r="E31" s="7"/>
      <c r="F31" s="34"/>
      <c r="N31" s="50" t="s">
        <v>86</v>
      </c>
    </row>
    <row r="32" spans="2:14" ht="15.75" thickBot="1" x14ac:dyDescent="0.3">
      <c r="B32" s="23"/>
      <c r="C32" s="9"/>
      <c r="D32" s="9"/>
      <c r="E32" s="9"/>
      <c r="F32" s="35"/>
      <c r="N32" s="50" t="s">
        <v>87</v>
      </c>
    </row>
    <row r="33" spans="2:14" x14ac:dyDescent="0.25">
      <c r="D33"/>
      <c r="N33" s="50" t="s">
        <v>88</v>
      </c>
    </row>
    <row r="34" spans="2:14" x14ac:dyDescent="0.25">
      <c r="D34"/>
      <c r="N34" s="50" t="s">
        <v>25</v>
      </c>
    </row>
    <row r="35" spans="2:14" ht="15.75" thickBot="1" x14ac:dyDescent="0.3">
      <c r="B35" s="52" t="s">
        <v>34</v>
      </c>
      <c r="C35" s="50" t="s">
        <v>115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75</v>
      </c>
      <c r="D36" s="59">
        <f t="shared" ref="D36:D88" si="0">SUMIF($D$11:$D$32,C36,$F$11:$F$32)</f>
        <v>0</v>
      </c>
      <c r="H36" s="86" t="s">
        <v>124</v>
      </c>
      <c r="I36" s="87" t="s">
        <v>125</v>
      </c>
      <c r="J36" s="88" t="s">
        <v>126</v>
      </c>
      <c r="K36" s="89" t="s">
        <v>69</v>
      </c>
    </row>
    <row r="37" spans="2:14" x14ac:dyDescent="0.25">
      <c r="C37" s="50" t="s">
        <v>76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89</v>
      </c>
    </row>
    <row r="38" spans="2:14" x14ac:dyDescent="0.25">
      <c r="C38" s="50" t="s">
        <v>35</v>
      </c>
      <c r="D38" s="59">
        <f t="shared" si="0"/>
        <v>0</v>
      </c>
      <c r="H38" s="72"/>
      <c r="I38" s="91"/>
      <c r="J38" s="82"/>
      <c r="K38" s="56"/>
      <c r="N38" s="54" t="s">
        <v>90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91</v>
      </c>
    </row>
    <row r="40" spans="2:14" x14ac:dyDescent="0.25">
      <c r="C40" s="49"/>
      <c r="H40" s="72"/>
      <c r="I40" s="91"/>
      <c r="J40" s="82"/>
      <c r="K40" s="56"/>
      <c r="N40" s="54" t="s">
        <v>92</v>
      </c>
    </row>
    <row r="41" spans="2:14" x14ac:dyDescent="0.25">
      <c r="B41" s="52" t="s">
        <v>21</v>
      </c>
      <c r="C41" s="50" t="s">
        <v>80</v>
      </c>
      <c r="D41" s="59">
        <f t="shared" si="0"/>
        <v>0</v>
      </c>
      <c r="H41" s="72"/>
      <c r="I41" s="91"/>
      <c r="J41" s="82"/>
      <c r="K41" s="56"/>
      <c r="N41" s="54" t="s">
        <v>93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94</v>
      </c>
    </row>
    <row r="43" spans="2:14" x14ac:dyDescent="0.25">
      <c r="C43" s="50" t="s">
        <v>37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82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81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95</v>
      </c>
    </row>
    <row r="46" spans="2:14" x14ac:dyDescent="0.25">
      <c r="C46" s="50" t="s">
        <v>40</v>
      </c>
      <c r="D46" s="59">
        <f t="shared" si="0"/>
        <v>0</v>
      </c>
      <c r="H46" s="72"/>
      <c r="I46" s="91"/>
      <c r="J46" s="82"/>
      <c r="K46" s="56"/>
      <c r="N46" s="50" t="s">
        <v>96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97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98</v>
      </c>
    </row>
    <row r="49" spans="2:14" x14ac:dyDescent="0.25">
      <c r="H49" s="72"/>
      <c r="I49" s="91"/>
      <c r="J49" s="82"/>
      <c r="K49" s="56"/>
      <c r="N49" s="50" t="s">
        <v>99</v>
      </c>
    </row>
    <row r="50" spans="2:14" x14ac:dyDescent="0.25">
      <c r="B50" s="52" t="s">
        <v>27</v>
      </c>
      <c r="C50" s="50" t="s">
        <v>28</v>
      </c>
      <c r="D50" s="59">
        <f t="shared" si="0"/>
        <v>0</v>
      </c>
      <c r="H50" s="72"/>
      <c r="I50" s="91"/>
      <c r="J50" s="82"/>
      <c r="K50" s="56"/>
      <c r="N50" s="50" t="s">
        <v>100</v>
      </c>
    </row>
    <row r="51" spans="2:14" x14ac:dyDescent="0.25">
      <c r="B51" s="60">
        <f>SUBTOTAL(9,D50:D56)</f>
        <v>0</v>
      </c>
      <c r="C51" s="50" t="s">
        <v>83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84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47</v>
      </c>
      <c r="D53" s="59">
        <f t="shared" si="0"/>
        <v>0</v>
      </c>
      <c r="M53" s="52" t="str">
        <f>P10</f>
        <v>Imprevistos</v>
      </c>
      <c r="N53" s="50" t="s">
        <v>101</v>
      </c>
    </row>
    <row r="54" spans="2:14" x14ac:dyDescent="0.25">
      <c r="C54" s="50" t="s">
        <v>85</v>
      </c>
      <c r="D54" s="59">
        <f t="shared" si="0"/>
        <v>0</v>
      </c>
      <c r="N54" s="50" t="s">
        <v>102</v>
      </c>
    </row>
    <row r="55" spans="2:14" x14ac:dyDescent="0.25">
      <c r="C55" s="50" t="s">
        <v>53</v>
      </c>
      <c r="D55" s="59">
        <f t="shared" si="0"/>
        <v>0</v>
      </c>
      <c r="N55" s="50" t="s">
        <v>103</v>
      </c>
    </row>
    <row r="56" spans="2:14" x14ac:dyDescent="0.25">
      <c r="C56" s="51"/>
      <c r="D56" s="59">
        <f t="shared" si="0"/>
        <v>0</v>
      </c>
      <c r="N56" s="50" t="s">
        <v>104</v>
      </c>
    </row>
    <row r="57" spans="2:14" x14ac:dyDescent="0.25">
      <c r="N57" s="50" t="s">
        <v>105</v>
      </c>
    </row>
    <row r="58" spans="2:14" x14ac:dyDescent="0.25">
      <c r="B58" s="52" t="s">
        <v>24</v>
      </c>
      <c r="C58" s="50" t="s">
        <v>116</v>
      </c>
      <c r="D58" s="59">
        <f t="shared" si="0"/>
        <v>0</v>
      </c>
      <c r="N58" s="50" t="s">
        <v>43</v>
      </c>
    </row>
    <row r="59" spans="2:14" x14ac:dyDescent="0.25">
      <c r="B59" s="60">
        <f>SUBTOTAL(9,D58:D64)</f>
        <v>0</v>
      </c>
      <c r="C59" s="50" t="s">
        <v>32</v>
      </c>
      <c r="D59" s="59">
        <f t="shared" si="0"/>
        <v>0</v>
      </c>
      <c r="N59" s="51"/>
    </row>
    <row r="60" spans="2:14" x14ac:dyDescent="0.25">
      <c r="C60" s="50" t="s">
        <v>86</v>
      </c>
      <c r="D60" s="59">
        <f t="shared" si="0"/>
        <v>0</v>
      </c>
    </row>
    <row r="61" spans="2:14" x14ac:dyDescent="0.25">
      <c r="C61" s="50" t="s">
        <v>87</v>
      </c>
      <c r="D61" s="59">
        <f t="shared" si="0"/>
        <v>0</v>
      </c>
    </row>
    <row r="62" spans="2:14" x14ac:dyDescent="0.25">
      <c r="C62" s="50" t="s">
        <v>88</v>
      </c>
      <c r="D62" s="59">
        <f t="shared" si="0"/>
        <v>0</v>
      </c>
    </row>
    <row r="63" spans="2:14" x14ac:dyDescent="0.25">
      <c r="C63" s="50" t="s">
        <v>25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78</v>
      </c>
      <c r="C66" s="54" t="s">
        <v>117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90</v>
      </c>
      <c r="D67" s="59">
        <f t="shared" si="0"/>
        <v>0</v>
      </c>
    </row>
    <row r="68" spans="2:4" x14ac:dyDescent="0.25">
      <c r="C68" s="54" t="s">
        <v>91</v>
      </c>
      <c r="D68" s="59">
        <f t="shared" si="0"/>
        <v>0</v>
      </c>
    </row>
    <row r="69" spans="2:4" x14ac:dyDescent="0.25">
      <c r="C69" s="54" t="s">
        <v>118</v>
      </c>
      <c r="D69" s="59">
        <f t="shared" si="0"/>
        <v>0</v>
      </c>
    </row>
    <row r="70" spans="2:4" x14ac:dyDescent="0.25">
      <c r="C70" s="54" t="s">
        <v>93</v>
      </c>
      <c r="D70" s="59">
        <f t="shared" si="0"/>
        <v>0</v>
      </c>
    </row>
    <row r="71" spans="2:4" x14ac:dyDescent="0.25">
      <c r="C71" s="54" t="s">
        <v>94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79</v>
      </c>
      <c r="C74" s="50" t="s">
        <v>95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96</v>
      </c>
      <c r="D75" s="59">
        <f t="shared" si="0"/>
        <v>0</v>
      </c>
    </row>
    <row r="76" spans="2:4" x14ac:dyDescent="0.25">
      <c r="C76" s="50" t="s">
        <v>98</v>
      </c>
      <c r="D76" s="59">
        <f t="shared" si="0"/>
        <v>0</v>
      </c>
    </row>
    <row r="77" spans="2:4" x14ac:dyDescent="0.25">
      <c r="C77" s="50" t="s">
        <v>100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42</v>
      </c>
      <c r="C82" s="50" t="s">
        <v>101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102</v>
      </c>
      <c r="D83" s="59">
        <f>SUMIF($D$11:$D$32,C83,$F$11:$F$32)</f>
        <v>0</v>
      </c>
    </row>
    <row r="84" spans="2:4" x14ac:dyDescent="0.25">
      <c r="C84" s="50" t="s">
        <v>103</v>
      </c>
      <c r="D84" s="59">
        <f t="shared" si="0"/>
        <v>0</v>
      </c>
    </row>
    <row r="85" spans="2:4" x14ac:dyDescent="0.25">
      <c r="C85" s="50" t="s">
        <v>104</v>
      </c>
      <c r="D85" s="59">
        <f t="shared" si="0"/>
        <v>0</v>
      </c>
    </row>
    <row r="86" spans="2:4" x14ac:dyDescent="0.25">
      <c r="C86" s="50" t="s">
        <v>105</v>
      </c>
      <c r="D86" s="59">
        <f t="shared" si="0"/>
        <v>0</v>
      </c>
    </row>
    <row r="87" spans="2:4" x14ac:dyDescent="0.25">
      <c r="C87" s="50" t="s">
        <v>43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Fluxo mensal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2026-04-21T23:56:58Z</dcterms:modified>
  <cp:category/>
  <cp:contentStatus/>
</cp:coreProperties>
</file>