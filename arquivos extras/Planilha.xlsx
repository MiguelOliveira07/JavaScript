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arquivos extras\"/>
    </mc:Choice>
  </mc:AlternateContent>
  <bookViews>
    <workbookView xWindow="0" yWindow="0" windowWidth="20490" windowHeight="7755" tabRatio="839" activeTab="12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l" sheetId="4" r:id="rId6"/>
    <sheet name="Jun" sheetId="1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Modelo" sheetId="2" state="hidden" r:id="rId15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3" l="1"/>
  <c r="H43" i="3"/>
  <c r="O3" i="13"/>
  <c r="L6" i="13" l="1"/>
  <c r="O6" i="13" s="1"/>
  <c r="M38" i="3"/>
  <c r="L13" i="3" l="1"/>
  <c r="L45" i="3"/>
  <c r="M41" i="3"/>
  <c r="M42" i="3"/>
  <c r="M43" i="3"/>
  <c r="M40" i="3"/>
  <c r="N22" i="3"/>
  <c r="M22" i="3"/>
  <c r="L22" i="3"/>
  <c r="K22" i="3"/>
  <c r="J22" i="3"/>
  <c r="I22" i="3"/>
  <c r="H22" i="3"/>
  <c r="F22" i="3"/>
  <c r="E22" i="3"/>
  <c r="D22" i="3"/>
  <c r="C22" i="3"/>
  <c r="F11" i="13"/>
  <c r="L3" i="13" l="1"/>
  <c r="J32" i="14" l="1"/>
  <c r="D90" i="13" l="1"/>
  <c r="G22" i="3" s="1"/>
  <c r="G37" i="3" s="1"/>
  <c r="L5" i="14" l="1"/>
  <c r="L4" i="14"/>
  <c r="L3" i="14"/>
  <c r="D3" i="13"/>
  <c r="D4" i="13"/>
  <c r="K14" i="13"/>
  <c r="G7" i="3"/>
  <c r="N3" i="13" l="1"/>
  <c r="M31" i="3" l="1"/>
  <c r="M32" i="3"/>
  <c r="M33" i="3"/>
  <c r="M34" i="3"/>
  <c r="M35" i="3"/>
  <c r="M36" i="3"/>
  <c r="M37" i="3"/>
  <c r="M39" i="3"/>
  <c r="L30" i="3"/>
  <c r="M28" i="3" s="1"/>
  <c r="D90" i="10"/>
  <c r="D90" i="11"/>
  <c r="D90" i="12"/>
  <c r="D90" i="14"/>
  <c r="D82" i="3" s="1"/>
  <c r="D90" i="4"/>
  <c r="D90" i="5"/>
  <c r="D90" i="6"/>
  <c r="D90" i="7"/>
  <c r="D90" i="8"/>
  <c r="D90" i="9"/>
  <c r="D90" i="1"/>
  <c r="M30" i="3" l="1"/>
  <c r="L5" i="13"/>
  <c r="L5" i="11"/>
  <c r="L5" i="12"/>
  <c r="L5" i="4"/>
  <c r="L5" i="5"/>
  <c r="L5" i="6"/>
  <c r="L5" i="7"/>
  <c r="L5" i="8"/>
  <c r="L5" i="9"/>
  <c r="L5" i="10"/>
  <c r="L5" i="1"/>
  <c r="K11" i="12"/>
  <c r="L6" i="12"/>
  <c r="L4" i="12"/>
  <c r="F14" i="12" l="1"/>
  <c r="K23" i="10" l="1"/>
  <c r="K23" i="11"/>
  <c r="K23" i="12"/>
  <c r="K23" i="14"/>
  <c r="K23" i="4"/>
  <c r="K23" i="5"/>
  <c r="K23" i="6"/>
  <c r="K23" i="7"/>
  <c r="K23" i="8"/>
  <c r="K23" i="9"/>
  <c r="K23" i="1"/>
  <c r="N6" i="3"/>
  <c r="M6" i="3"/>
  <c r="L6" i="3"/>
  <c r="K6" i="3"/>
  <c r="J6" i="3"/>
  <c r="I6" i="3"/>
  <c r="H6" i="3"/>
  <c r="G6" i="3"/>
  <c r="F6" i="3"/>
  <c r="E6" i="3"/>
  <c r="D6" i="3"/>
  <c r="N7" i="3"/>
  <c r="M7" i="3"/>
  <c r="L7" i="3"/>
  <c r="K7" i="3"/>
  <c r="J7" i="3"/>
  <c r="I7" i="3"/>
  <c r="H7" i="3"/>
  <c r="F7" i="3"/>
  <c r="E7" i="3"/>
  <c r="D7" i="3"/>
  <c r="C6" i="3"/>
  <c r="C7" i="3"/>
  <c r="O6" i="3" l="1"/>
  <c r="F13" i="11"/>
  <c r="F4" i="10" l="1"/>
  <c r="F14" i="10"/>
  <c r="F11" i="10"/>
  <c r="K12" i="10"/>
  <c r="J10" i="3" l="1"/>
  <c r="I10" i="3"/>
  <c r="H10" i="3"/>
  <c r="F4" i="11"/>
  <c r="F4" i="12"/>
  <c r="F4" i="13"/>
  <c r="F4" i="14"/>
  <c r="F4" i="4"/>
  <c r="F4" i="5"/>
  <c r="F4" i="6"/>
  <c r="F4" i="7"/>
  <c r="F4" i="8"/>
  <c r="F4" i="9"/>
  <c r="F4" i="1"/>
  <c r="F5" i="2"/>
  <c r="D4" i="10"/>
  <c r="D10" i="3" s="1"/>
  <c r="D4" i="11"/>
  <c r="E10" i="3" s="1"/>
  <c r="D4" i="12"/>
  <c r="F10" i="3" s="1"/>
  <c r="G10" i="3"/>
  <c r="D4" i="14"/>
  <c r="F5" i="14" s="1"/>
  <c r="D4" i="4"/>
  <c r="F5" i="4" s="1"/>
  <c r="D4" i="5"/>
  <c r="F5" i="5" s="1"/>
  <c r="D4" i="6"/>
  <c r="F5" i="6" s="1"/>
  <c r="D4" i="7"/>
  <c r="L10" i="3" s="1"/>
  <c r="D4" i="8"/>
  <c r="M10" i="3" s="1"/>
  <c r="D4" i="9"/>
  <c r="N10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10" i="3"/>
  <c r="F5" i="1"/>
  <c r="F5" i="11"/>
  <c r="F5" i="7"/>
  <c r="C10" i="3"/>
  <c r="F5" i="9"/>
  <c r="G32" i="3"/>
  <c r="G31" i="3"/>
  <c r="F7" i="2"/>
  <c r="G38" i="3"/>
  <c r="G30" i="3"/>
  <c r="G29" i="3"/>
  <c r="G36" i="3"/>
  <c r="G28" i="3"/>
  <c r="G35" i="3"/>
  <c r="G34" i="3"/>
  <c r="G33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87" i="10"/>
  <c r="D86" i="10"/>
  <c r="D85" i="10"/>
  <c r="D84" i="10"/>
  <c r="D83" i="10"/>
  <c r="D82" i="10"/>
  <c r="D80" i="10"/>
  <c r="D79" i="10"/>
  <c r="D78" i="10"/>
  <c r="D77" i="10"/>
  <c r="D69" i="3" s="1"/>
  <c r="D76" i="10"/>
  <c r="D75" i="10"/>
  <c r="D67" i="3" s="1"/>
  <c r="D74" i="10"/>
  <c r="D72" i="10"/>
  <c r="D71" i="10"/>
  <c r="D63" i="3" s="1"/>
  <c r="D70" i="10"/>
  <c r="D69" i="10"/>
  <c r="D68" i="10"/>
  <c r="D67" i="10"/>
  <c r="D59" i="3" s="1"/>
  <c r="D66" i="10"/>
  <c r="D64" i="10"/>
  <c r="D63" i="10"/>
  <c r="D62" i="10"/>
  <c r="D61" i="10"/>
  <c r="D60" i="10"/>
  <c r="D59" i="10"/>
  <c r="D51" i="3" s="1"/>
  <c r="D58" i="10"/>
  <c r="D56" i="10"/>
  <c r="D55" i="10"/>
  <c r="D54" i="10"/>
  <c r="D53" i="10"/>
  <c r="D52" i="10"/>
  <c r="D51" i="10"/>
  <c r="D50" i="10"/>
  <c r="D48" i="10"/>
  <c r="D47" i="10"/>
  <c r="D39" i="3" s="1"/>
  <c r="D46" i="10"/>
  <c r="D45" i="10"/>
  <c r="D44" i="10"/>
  <c r="D43" i="10"/>
  <c r="D35" i="3" s="1"/>
  <c r="D42" i="10"/>
  <c r="D41" i="10"/>
  <c r="D39" i="10"/>
  <c r="D38" i="10"/>
  <c r="D37" i="10"/>
  <c r="D36" i="10"/>
  <c r="D28" i="3" s="1"/>
  <c r="D35" i="10"/>
  <c r="D27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77" i="3" l="1"/>
  <c r="D44" i="3"/>
  <c r="D80" i="3"/>
  <c r="D62" i="3"/>
  <c r="D30" i="3"/>
  <c r="D43" i="3"/>
  <c r="D53" i="3"/>
  <c r="D34" i="3"/>
  <c r="D78" i="3"/>
  <c r="D72" i="3"/>
  <c r="O10" i="3"/>
  <c r="B42" i="2"/>
  <c r="D61" i="3"/>
  <c r="D60" i="3"/>
  <c r="D54" i="3"/>
  <c r="D40" i="3"/>
  <c r="B51" i="10"/>
  <c r="D18" i="3" s="1"/>
  <c r="D55" i="3"/>
  <c r="D71" i="3"/>
  <c r="D52" i="3"/>
  <c r="D70" i="3"/>
  <c r="D38" i="3"/>
  <c r="D56" i="3"/>
  <c r="D79" i="3"/>
  <c r="D48" i="3"/>
  <c r="D64" i="3"/>
  <c r="D36" i="3"/>
  <c r="D31" i="3"/>
  <c r="D45" i="3"/>
  <c r="D37" i="3"/>
  <c r="D46" i="3"/>
  <c r="D29" i="3"/>
  <c r="D75" i="3"/>
  <c r="D68" i="3"/>
  <c r="B75" i="5"/>
  <c r="J21" i="3" s="1"/>
  <c r="B36" i="6"/>
  <c r="K16" i="3" s="1"/>
  <c r="B59" i="2"/>
  <c r="B51" i="2"/>
  <c r="B67" i="2"/>
  <c r="B36" i="2"/>
  <c r="B75" i="2"/>
  <c r="B75" i="10"/>
  <c r="D21" i="3" s="1"/>
  <c r="B75" i="9"/>
  <c r="N21" i="3" s="1"/>
  <c r="B75" i="8"/>
  <c r="M21" i="3" s="1"/>
  <c r="B75" i="7"/>
  <c r="L21" i="3" s="1"/>
  <c r="B75" i="4"/>
  <c r="I21" i="3" s="1"/>
  <c r="B75" i="14"/>
  <c r="H21" i="3" s="1"/>
  <c r="B75" i="13"/>
  <c r="G21" i="3" s="1"/>
  <c r="B75" i="12"/>
  <c r="F21" i="3" s="1"/>
  <c r="D47" i="3"/>
  <c r="B75" i="11"/>
  <c r="E21" i="3" s="1"/>
  <c r="B75" i="1"/>
  <c r="C21" i="3" s="1"/>
  <c r="B67" i="1"/>
  <c r="C20" i="3" s="1"/>
  <c r="B67" i="10"/>
  <c r="D20" i="3" s="1"/>
  <c r="B67" i="9"/>
  <c r="N20" i="3" s="1"/>
  <c r="B67" i="8"/>
  <c r="M20" i="3" s="1"/>
  <c r="B67" i="7"/>
  <c r="L20" i="3" s="1"/>
  <c r="B67" i="6"/>
  <c r="K20" i="3" s="1"/>
  <c r="B67" i="5"/>
  <c r="J20" i="3" s="1"/>
  <c r="B67" i="4"/>
  <c r="I20" i="3" s="1"/>
  <c r="B67" i="14"/>
  <c r="H20" i="3" s="1"/>
  <c r="B67" i="13"/>
  <c r="G20" i="3" s="1"/>
  <c r="B67" i="12"/>
  <c r="F20" i="3" s="1"/>
  <c r="B67" i="11"/>
  <c r="E20" i="3" s="1"/>
  <c r="B59" i="1"/>
  <c r="C19" i="3" s="1"/>
  <c r="B59" i="10"/>
  <c r="D19" i="3" s="1"/>
  <c r="B59" i="9"/>
  <c r="N19" i="3" s="1"/>
  <c r="B59" i="8"/>
  <c r="M19" i="3" s="1"/>
  <c r="B59" i="7"/>
  <c r="L19" i="3" s="1"/>
  <c r="B59" i="4"/>
  <c r="I19" i="3" s="1"/>
  <c r="B59" i="14"/>
  <c r="H19" i="3" s="1"/>
  <c r="B59" i="13"/>
  <c r="G19" i="3" s="1"/>
  <c r="B59" i="12"/>
  <c r="F19" i="3" s="1"/>
  <c r="B59" i="11"/>
  <c r="E19" i="3" s="1"/>
  <c r="B51" i="9"/>
  <c r="N18" i="3" s="1"/>
  <c r="B51" i="8"/>
  <c r="M18" i="3" s="1"/>
  <c r="B51" i="7"/>
  <c r="L18" i="3" s="1"/>
  <c r="B51" i="6"/>
  <c r="K18" i="3" s="1"/>
  <c r="B51" i="5"/>
  <c r="J18" i="3" s="1"/>
  <c r="B59" i="5"/>
  <c r="J19" i="3" s="1"/>
  <c r="B42" i="4"/>
  <c r="I17" i="3" s="1"/>
  <c r="B51" i="14"/>
  <c r="H18" i="3" s="1"/>
  <c r="B51" i="13"/>
  <c r="G18" i="3" s="1"/>
  <c r="B51" i="12"/>
  <c r="F18" i="3" s="1"/>
  <c r="B42" i="11"/>
  <c r="E17" i="3" s="1"/>
  <c r="B51" i="11"/>
  <c r="E18" i="3" s="1"/>
  <c r="D66" i="3"/>
  <c r="B75" i="6"/>
  <c r="K21" i="3" s="1"/>
  <c r="B51" i="4"/>
  <c r="I18" i="3" s="1"/>
  <c r="D50" i="3"/>
  <c r="B51" i="1"/>
  <c r="C18" i="3" s="1"/>
  <c r="B36" i="1"/>
  <c r="C16" i="3" s="1"/>
  <c r="B36" i="10"/>
  <c r="D16" i="3" s="1"/>
  <c r="B36" i="9"/>
  <c r="N16" i="3" s="1"/>
  <c r="B36" i="8"/>
  <c r="M16" i="3" s="1"/>
  <c r="B36" i="7"/>
  <c r="L16" i="3" s="1"/>
  <c r="B59" i="6"/>
  <c r="K19" i="3" s="1"/>
  <c r="B36" i="5"/>
  <c r="J16" i="3" s="1"/>
  <c r="B36" i="4"/>
  <c r="I16" i="3" s="1"/>
  <c r="B36" i="14"/>
  <c r="H16" i="3" s="1"/>
  <c r="B36" i="13"/>
  <c r="G16" i="3" s="1"/>
  <c r="B36" i="12"/>
  <c r="F16" i="3" s="1"/>
  <c r="B36" i="11"/>
  <c r="E16" i="3" s="1"/>
  <c r="B42" i="1"/>
  <c r="C17" i="3" s="1"/>
  <c r="B42" i="5"/>
  <c r="J17" i="3" s="1"/>
  <c r="B42" i="10"/>
  <c r="B42" i="7"/>
  <c r="L17" i="3" s="1"/>
  <c r="B42" i="13"/>
  <c r="G17" i="3" s="1"/>
  <c r="B42" i="12"/>
  <c r="F17" i="3" s="1"/>
  <c r="B42" i="8"/>
  <c r="M17" i="3" s="1"/>
  <c r="B42" i="9"/>
  <c r="N17" i="3" s="1"/>
  <c r="B42" i="14"/>
  <c r="H17" i="3" s="1"/>
  <c r="D33" i="3"/>
  <c r="B42" i="6"/>
  <c r="K17" i="3" s="1"/>
  <c r="D42" i="3"/>
  <c r="D58" i="3"/>
  <c r="B83" i="10"/>
  <c r="D23" i="3" s="1"/>
  <c r="B83" i="9"/>
  <c r="N23" i="3" s="1"/>
  <c r="B83" i="8"/>
  <c r="M23" i="3" s="1"/>
  <c r="B83" i="7"/>
  <c r="L23" i="3" s="1"/>
  <c r="B83" i="5"/>
  <c r="J23" i="3" s="1"/>
  <c r="B83" i="1"/>
  <c r="C23" i="3" s="1"/>
  <c r="B83" i="6"/>
  <c r="K23" i="3" s="1"/>
  <c r="B83" i="4"/>
  <c r="I23" i="3" s="1"/>
  <c r="B83" i="14"/>
  <c r="H23" i="3" s="1"/>
  <c r="B83" i="13"/>
  <c r="G23" i="3" s="1"/>
  <c r="B83" i="12"/>
  <c r="F23" i="3" s="1"/>
  <c r="B83" i="11"/>
  <c r="E23" i="3" s="1"/>
  <c r="D76" i="3"/>
  <c r="D74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8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8" i="3" s="1"/>
  <c r="F8" i="3" l="1"/>
  <c r="L8" i="3"/>
  <c r="O20" i="3"/>
  <c r="O23" i="3"/>
  <c r="O16" i="3"/>
  <c r="O19" i="3"/>
  <c r="O18" i="3"/>
  <c r="O21" i="3"/>
  <c r="D17" i="3"/>
  <c r="O17" i="3" s="1"/>
  <c r="B51" i="3"/>
  <c r="B59" i="3"/>
  <c r="B28" i="3"/>
  <c r="B34" i="3"/>
  <c r="N8" i="3"/>
  <c r="B67" i="3"/>
  <c r="E8" i="3"/>
  <c r="B43" i="3"/>
  <c r="D8" i="3"/>
  <c r="G8" i="3"/>
  <c r="M8" i="3"/>
  <c r="B75" i="3"/>
  <c r="K8" i="3"/>
  <c r="J8" i="3"/>
  <c r="F6" i="1"/>
  <c r="C5" i="3" s="1"/>
  <c r="O5" i="3" s="1"/>
  <c r="C4" i="3"/>
  <c r="O4" i="3" s="1"/>
  <c r="C3" i="3"/>
  <c r="I4" i="1"/>
  <c r="C8" i="3" l="1"/>
  <c r="C9" i="3" s="1"/>
  <c r="F7" i="1"/>
  <c r="D7" i="10" s="1"/>
  <c r="F3" i="10" s="1"/>
  <c r="O8" i="3" l="1"/>
  <c r="F7" i="10"/>
  <c r="D7" i="11" s="1"/>
  <c r="F3" i="11" s="1"/>
  <c r="F7" i="11" s="1"/>
  <c r="D3" i="3"/>
  <c r="D9" i="3" s="1"/>
  <c r="E3" i="3" l="1"/>
  <c r="E9" i="3" s="1"/>
  <c r="D7" i="12"/>
  <c r="F3" i="12" s="1"/>
  <c r="F7" i="12" l="1"/>
  <c r="D7" i="13" s="1"/>
  <c r="F3" i="13" s="1"/>
  <c r="F7" i="13" s="1"/>
  <c r="F3" i="3"/>
  <c r="F9" i="3" s="1"/>
  <c r="D7" i="14" l="1"/>
  <c r="F3" i="14" s="1"/>
  <c r="G3" i="3"/>
  <c r="G9" i="3" s="1"/>
  <c r="H3" i="3" l="1"/>
  <c r="H9" i="3" s="1"/>
  <c r="F7" i="14"/>
  <c r="D7" i="4" s="1"/>
  <c r="F3" i="4" s="1"/>
  <c r="F7" i="4" l="1"/>
  <c r="D7" i="5" s="1"/>
  <c r="F3" i="5" s="1"/>
  <c r="I3" i="3"/>
  <c r="I9" i="3" s="1"/>
  <c r="F7" i="5" l="1"/>
  <c r="D7" i="6" s="1"/>
  <c r="F3" i="6" s="1"/>
  <c r="J3" i="3"/>
  <c r="J9" i="3" s="1"/>
  <c r="K3" i="3" l="1"/>
  <c r="K9" i="3" s="1"/>
  <c r="F7" i="6"/>
  <c r="D7" i="7" s="1"/>
  <c r="F3" i="7" s="1"/>
  <c r="F7" i="7" l="1"/>
  <c r="D7" i="8" s="1"/>
  <c r="F3" i="8" s="1"/>
  <c r="L3" i="3"/>
  <c r="L9" i="3" s="1"/>
  <c r="F7" i="8" l="1"/>
  <c r="D7" i="9" s="1"/>
  <c r="F3" i="9" s="1"/>
  <c r="M3" i="3"/>
  <c r="M9" i="3" s="1"/>
  <c r="F7" i="9" l="1"/>
  <c r="N3" i="3"/>
  <c r="N9" i="3" l="1"/>
  <c r="O9" i="3" s="1"/>
  <c r="O3" i="3"/>
  <c r="O7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family val="2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<sst xmlns="http://schemas.openxmlformats.org/spreadsheetml/2006/main" count="1578" uniqueCount="249">
  <si>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</si>
  <si>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</si>
  <si>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</si>
  <si>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</si>
  <si>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</si>
  <si>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</si>
  <si>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</si>
  <si>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</si>
  <si>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</si>
  <si>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</si>
  <si>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</si>
  <si>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</si>
  <si>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</si>
  <si>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</si>
  <si>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</si>
  <si>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</si>
  <si>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</si>
  <si>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</si>
  <si>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</si>
  <si>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</si>
  <si>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</si>
  <si>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</si>
  <si>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</si>
  <si>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Transporte</t>
  </si>
  <si>
    <t>Multas / Documentação</t>
  </si>
  <si>
    <t>Despesas</t>
  </si>
  <si>
    <t>Presentes e datas comemorativas</t>
  </si>
  <si>
    <t>AGO</t>
  </si>
  <si>
    <t>minha mãe me mandou 100 reias</t>
  </si>
  <si>
    <t>Uber / Táxi</t>
  </si>
  <si>
    <t>Alimentação</t>
  </si>
  <si>
    <t>Lanches / Snacks</t>
  </si>
  <si>
    <t>Passeios / Viagens</t>
  </si>
  <si>
    <t>Saídas com amigos</t>
  </si>
  <si>
    <t>Imprevistos</t>
  </si>
  <si>
    <t>Ajuda financeira a alguém (urgente)</t>
  </si>
  <si>
    <t>SET</t>
  </si>
  <si>
    <t>Compras online aleatórias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</si>
  <si>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</si>
  <si>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</si>
  <si>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</si>
  <si>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</si>
  <si>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</si>
  <si>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</si>
  <si>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</si>
  <si>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</si>
  <si>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</si>
  <si>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</si>
  <si>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</si>
  <si>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</si>
  <si>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</si>
  <si>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</si>
  <si>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</si>
  <si>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</si>
  <si>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</si>
  <si>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</si>
  <si>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</si>
  <si>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</si>
  <si>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</si>
  <si>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</si>
  <si>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</si>
  <si>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</si>
  <si>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</si>
  <si>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</si>
  <si>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</si>
  <si>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</si>
  <si>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</si>
  <si>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</si>
  <si>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</si>
  <si>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</si>
  <si>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</si>
  <si>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</si>
  <si>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</si>
  <si>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</si>
  <si>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</si>
  <si>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</si>
  <si>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</si>
  <si>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</si>
  <si>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</si>
  <si>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</si>
  <si>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</si>
  <si>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</si>
  <si>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</si>
  <si>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</si>
  <si>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</si>
  <si>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</si>
  <si>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</si>
  <si>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</si>
  <si>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</si>
  <si>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</si>
  <si>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</si>
  <si>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</si>
  <si>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</si>
  <si>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</si>
  <si>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</si>
  <si>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</si>
  <si>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</si>
  <si>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</si>
  <si>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</si>
  <si>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</si>
  <si>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</si>
  <si>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</si>
  <si>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</si>
  <si>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</si>
  <si>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</si>
  <si>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</si>
  <si>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</si>
  <si>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</si>
  <si>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</si>
  <si>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</si>
  <si>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</si>
  <si>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</si>
  <si>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</si>
  <si>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</si>
  <si>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</si>
  <si>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</si>
  <si>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alimentação</t>
  </si>
  <si>
    <t>lazer</t>
  </si>
  <si>
    <t>volei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</si>
  <si>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</si>
  <si>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</si>
  <si>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</si>
  <si>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</si>
  <si>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</si>
  <si>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</si>
  <si>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</si>
  <si>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</si>
  <si>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</si>
  <si>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</si>
  <si>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</si>
  <si>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</si>
  <si>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</si>
  <si>
    <t>acampamento</t>
  </si>
  <si>
    <t>babeiro</t>
  </si>
  <si>
    <t>oferta</t>
  </si>
  <si>
    <t>Trabalho</t>
  </si>
  <si>
    <t>Astra</t>
  </si>
  <si>
    <t>fotos de carro, Astra</t>
  </si>
  <si>
    <t>padaria e armazem (trena)</t>
  </si>
  <si>
    <t>supermecado brasil</t>
  </si>
  <si>
    <t>fotos do volei  + banlek acumulado</t>
  </si>
  <si>
    <t>fotos do volei</t>
  </si>
  <si>
    <t xml:space="preserve"> </t>
  </si>
  <si>
    <t>betel</t>
  </si>
  <si>
    <t>mensal</t>
  </si>
  <si>
    <t>cannon</t>
  </si>
  <si>
    <t>sitio</t>
  </si>
  <si>
    <t>tenis</t>
  </si>
  <si>
    <t>spotify</t>
  </si>
  <si>
    <t>claro</t>
  </si>
  <si>
    <t>ipva</t>
  </si>
  <si>
    <t>gasolina pra manu</t>
  </si>
  <si>
    <t>brasil</t>
  </si>
  <si>
    <t>churrasco</t>
  </si>
  <si>
    <t>Bernardo</t>
  </si>
  <si>
    <t>aiversario do Be</t>
  </si>
  <si>
    <t>pasta, calculadora</t>
  </si>
  <si>
    <t>relação</t>
  </si>
  <si>
    <t>monster</t>
  </si>
  <si>
    <t>balaclava</t>
  </si>
  <si>
    <t>moto</t>
  </si>
  <si>
    <t>hamburgao</t>
  </si>
  <si>
    <t>qualeasenha?</t>
  </si>
  <si>
    <t>net</t>
  </si>
  <si>
    <t>lanche pra facul</t>
  </si>
  <si>
    <t>lanche pra igreja eu acho</t>
  </si>
  <si>
    <t>dinheiro guardado</t>
  </si>
  <si>
    <t>dinheiro para inestimento futuro</t>
  </si>
  <si>
    <t>dinheiro para investimentos</t>
  </si>
  <si>
    <t>dizimo do mês</t>
  </si>
  <si>
    <t>show projeto sola, ingresso</t>
  </si>
  <si>
    <t>para passar o mês, tenho =&gt;</t>
  </si>
  <si>
    <t>jo e livro</t>
  </si>
  <si>
    <t>acai</t>
  </si>
  <si>
    <t>camisa campeonato</t>
  </si>
  <si>
    <t>gasolina pra são joao</t>
  </si>
  <si>
    <t>peguei dinheiro na banlek</t>
  </si>
  <si>
    <t xml:space="preserve">dinheiro </t>
  </si>
  <si>
    <t>churrasco e sucos</t>
  </si>
  <si>
    <t>dinheiro para lente</t>
  </si>
  <si>
    <t xml:space="preserve">manu </t>
  </si>
  <si>
    <t>lorena e jão</t>
  </si>
  <si>
    <t>gastos variados</t>
  </si>
  <si>
    <t>entradas fotografia</t>
  </si>
  <si>
    <t>saidas fixas</t>
  </si>
  <si>
    <t>pc</t>
  </si>
  <si>
    <t>pc - gabinete</t>
  </si>
  <si>
    <t>moto bati</t>
  </si>
  <si>
    <t>estou me devendo =&gt;</t>
  </si>
  <si>
    <t xml:space="preserve">edição </t>
  </si>
  <si>
    <t>maycon</t>
  </si>
  <si>
    <t>pc - placa mãe</t>
  </si>
  <si>
    <t>retirei esse mês</t>
  </si>
  <si>
    <t>Investimentos</t>
  </si>
  <si>
    <t>Projeto PC</t>
  </si>
  <si>
    <t>Peça</t>
  </si>
  <si>
    <t>custo</t>
  </si>
  <si>
    <t>valor cheio</t>
  </si>
  <si>
    <t>valor economizado</t>
  </si>
  <si>
    <t xml:space="preserve"> placa mãe</t>
  </si>
  <si>
    <t>gabinete</t>
  </si>
  <si>
    <t>Local da compra</t>
  </si>
  <si>
    <t>shoope (pichau)</t>
  </si>
  <si>
    <t>Terabyte</t>
  </si>
  <si>
    <t xml:space="preserve">processador </t>
  </si>
  <si>
    <t>Igor</t>
  </si>
  <si>
    <t>joyce</t>
  </si>
  <si>
    <t>oleo</t>
  </si>
  <si>
    <t xml:space="preserve">tenho </t>
  </si>
  <si>
    <t>dinheiro para investimento futuro</t>
  </si>
  <si>
    <t>mae</t>
  </si>
  <si>
    <t>pc - processador</t>
  </si>
  <si>
    <t>MONITOR</t>
  </si>
  <si>
    <t>MOUSE</t>
  </si>
  <si>
    <t>FONTE</t>
  </si>
  <si>
    <t>TECLADO</t>
  </si>
  <si>
    <t>dinheiro para inVestimento futuro</t>
  </si>
  <si>
    <t>pichau</t>
  </si>
  <si>
    <t>aliepres</t>
  </si>
  <si>
    <t>aliespres</t>
  </si>
  <si>
    <t>mousepad</t>
  </si>
  <si>
    <t>RAM</t>
  </si>
  <si>
    <t>SSD</t>
  </si>
  <si>
    <t>kabum</t>
  </si>
  <si>
    <t>terabyte</t>
  </si>
  <si>
    <t>COOLER</t>
  </si>
  <si>
    <t>amazon OU shoope</t>
  </si>
  <si>
    <t>pc - fonte e cooler</t>
  </si>
  <si>
    <t xml:space="preserve">cooler </t>
  </si>
  <si>
    <t>amazon</t>
  </si>
  <si>
    <t xml:space="preserve">fonte </t>
  </si>
  <si>
    <t>ram</t>
  </si>
  <si>
    <t>ssd</t>
  </si>
  <si>
    <t>placa de video</t>
  </si>
  <si>
    <t>Monitor</t>
  </si>
  <si>
    <t>Mouse</t>
  </si>
  <si>
    <t>Mouse pad</t>
  </si>
  <si>
    <t>pasta termica</t>
  </si>
  <si>
    <t>aliespress</t>
  </si>
  <si>
    <t>teclado</t>
  </si>
  <si>
    <t>mercado livre</t>
  </si>
  <si>
    <t>magalu</t>
  </si>
  <si>
    <t>pc - mouse e mouse pad</t>
  </si>
  <si>
    <t>pen drive</t>
  </si>
  <si>
    <t>facul</t>
  </si>
  <si>
    <t>pc - teclado</t>
  </si>
  <si>
    <t>pc - monitor</t>
  </si>
  <si>
    <t>perifericos</t>
  </si>
  <si>
    <t>pc - bruto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</si>
</sst>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sz val="12"/>
      <color rgb="FFFFFF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1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44" fontId="0" fillId="0" borderId="0" xfId="0" applyNumberFormat="1"/>
    <xf numFmtId="0" fontId="0" fillId="8" borderId="9" xfId="0" applyFill="1" applyBorder="1" applyAlignment="1">
      <alignment horizontal="left" vertical="center"/>
    </xf>
    <xf numFmtId="44" fontId="0" fillId="5" borderId="9" xfId="1" applyFont="1" applyFill="1" applyBorder="1" applyAlignment="1">
      <alignment horizontal="center"/>
    </xf>
    <xf numFmtId="44" fontId="5" fillId="7" borderId="36" xfId="1" applyFont="1" applyFill="1" applyBorder="1" applyAlignment="1">
      <alignment horizontal="center"/>
    </xf>
    <xf numFmtId="44" fontId="5" fillId="7" borderId="46" xfId="1" applyFont="1" applyFill="1" applyBorder="1" applyAlignment="1">
      <alignment horizontal="center"/>
    </xf>
    <xf numFmtId="44" fontId="5" fillId="9" borderId="36" xfId="1" applyFont="1" applyFill="1" applyBorder="1" applyAlignment="1">
      <alignment horizontal="center"/>
    </xf>
    <xf numFmtId="44" fontId="5" fillId="9" borderId="46" xfId="1" applyFont="1" applyFill="1" applyBorder="1" applyAlignment="1">
      <alignment horizontal="center"/>
    </xf>
    <xf numFmtId="44" fontId="5" fillId="14" borderId="35" xfId="1" applyFont="1" applyFill="1" applyBorder="1" applyAlignment="1">
      <alignment horizontal="center"/>
    </xf>
    <xf numFmtId="44" fontId="5" fillId="14" borderId="22" xfId="1" applyFont="1" applyFill="1" applyBorder="1" applyAlignment="1">
      <alignment horizontal="center"/>
    </xf>
    <xf numFmtId="44" fontId="5" fillId="14" borderId="7" xfId="1" applyFont="1" applyFill="1" applyBorder="1" applyAlignment="1">
      <alignment horizontal="center"/>
    </xf>
    <xf numFmtId="44" fontId="5" fillId="13" borderId="36" xfId="1" applyFont="1" applyFill="1" applyBorder="1" applyAlignment="1">
      <alignment horizontal="center"/>
    </xf>
    <xf numFmtId="44" fontId="5" fillId="13" borderId="10" xfId="1" applyFont="1" applyFill="1" applyBorder="1" applyAlignment="1">
      <alignment horizontal="center"/>
    </xf>
    <xf numFmtId="44" fontId="5" fillId="12" borderId="36" xfId="1" applyFont="1" applyFill="1" applyBorder="1" applyAlignment="1">
      <alignment horizontal="center"/>
    </xf>
    <xf numFmtId="44" fontId="5" fillId="12" borderId="10" xfId="1" applyFont="1" applyFill="1" applyBorder="1" applyAlignment="1">
      <alignment horizontal="center"/>
    </xf>
    <xf numFmtId="44" fontId="6" fillId="7" borderId="8" xfId="1" applyFont="1" applyFill="1" applyBorder="1" applyAlignment="1">
      <alignment horizontal="center"/>
    </xf>
    <xf numFmtId="44" fontId="4" fillId="9" borderId="8" xfId="1" applyFont="1" applyFill="1" applyBorder="1" applyAlignment="1">
      <alignment horizontal="center"/>
    </xf>
    <xf numFmtId="44" fontId="5" fillId="11" borderId="36" xfId="1" applyFont="1" applyFill="1" applyBorder="1" applyAlignment="1">
      <alignment horizontal="center"/>
    </xf>
    <xf numFmtId="44" fontId="5" fillId="11" borderId="10" xfId="1" applyFont="1" applyFill="1" applyBorder="1" applyAlignment="1">
      <alignment horizontal="center"/>
    </xf>
    <xf numFmtId="44" fontId="5" fillId="15" borderId="36" xfId="1" applyFont="1" applyFill="1" applyBorder="1" applyAlignment="1">
      <alignment horizontal="center"/>
    </xf>
    <xf numFmtId="44" fontId="5" fillId="15" borderId="10" xfId="1" applyFont="1" applyFill="1" applyBorder="1" applyAlignment="1">
      <alignment horizontal="center"/>
    </xf>
    <xf numFmtId="44" fontId="5" fillId="9" borderId="44" xfId="1" applyFont="1" applyFill="1" applyBorder="1" applyAlignment="1">
      <alignment horizontal="center"/>
    </xf>
    <xf numFmtId="44" fontId="5" fillId="9" borderId="45" xfId="1" applyFont="1" applyFill="1" applyBorder="1" applyAlignment="1">
      <alignment horizontal="center"/>
    </xf>
    <xf numFmtId="0" fontId="0" fillId="22" borderId="0" xfId="0" applyFill="1"/>
    <xf numFmtId="0" fontId="7" fillId="22" borderId="0" xfId="0" applyFont="1" applyFill="1"/>
    <xf numFmtId="44" fontId="7" fillId="22" borderId="0" xfId="0" applyNumberFormat="1" applyFont="1" applyFill="1"/>
    <xf numFmtId="44" fontId="0" fillId="14" borderId="34" xfId="1" applyFont="1" applyFill="1" applyBorder="1" applyAlignment="1">
      <alignment horizontal="center" vertical="center"/>
    </xf>
    <xf numFmtId="44" fontId="0" fillId="13" borderId="25" xfId="1" applyFont="1" applyFill="1" applyBorder="1" applyAlignment="1">
      <alignment horizontal="center" vertical="center"/>
    </xf>
    <xf numFmtId="44" fontId="0" fillId="9" borderId="25" xfId="1" applyFont="1" applyFill="1" applyBorder="1" applyAlignment="1">
      <alignment horizontal="center" vertical="center"/>
    </xf>
    <xf numFmtId="44" fontId="0" fillId="12" borderId="27" xfId="1" applyFont="1" applyFill="1" applyBorder="1" applyAlignment="1">
      <alignment horizontal="center" vertical="center"/>
    </xf>
    <xf numFmtId="44" fontId="0" fillId="15" borderId="26" xfId="1" applyFont="1" applyFill="1" applyBorder="1" applyAlignment="1">
      <alignment horizontal="center" vertical="center"/>
    </xf>
    <xf numFmtId="44" fontId="0" fillId="22" borderId="0" xfId="0" applyNumberFormat="1" applyFill="1"/>
    <xf numFmtId="16" fontId="0" fillId="3" borderId="21" xfId="0" applyNumberFormat="1" applyFill="1" applyBorder="1"/>
    <xf numFmtId="0" fontId="0" fillId="0" borderId="0" xfId="0" applyAlignment="1">
      <alignment horizontal="center"/>
    </xf>
    <xf numFmtId="0" fontId="0" fillId="3" borderId="38" xfId="0" applyFill="1" applyBorder="1" applyAlignment="1">
      <alignment horizontal="left"/>
    </xf>
    <xf numFmtId="44" fontId="0" fillId="21" borderId="39" xfId="1" applyFont="1" applyFill="1" applyBorder="1" applyAlignment="1">
      <alignment horizontal="center"/>
    </xf>
    <xf numFmtId="44" fontId="8" fillId="23" borderId="7" xfId="1" applyFont="1" applyFill="1" applyBorder="1" applyAlignment="1">
      <alignment horizontal="center"/>
    </xf>
    <xf numFmtId="44" fontId="0" fillId="25" borderId="9" xfId="1" applyFont="1" applyFill="1" applyBorder="1" applyAlignment="1">
      <alignment horizontal="center"/>
    </xf>
    <xf numFmtId="44" fontId="0" fillId="25" borderId="8" xfId="1" applyFont="1" applyFill="1" applyBorder="1" applyAlignment="1">
      <alignment horizontal="center"/>
    </xf>
    <xf numFmtId="44" fontId="0" fillId="10" borderId="10" xfId="1" applyFont="1" applyFill="1" applyBorder="1" applyAlignment="1">
      <alignment horizontal="center"/>
    </xf>
    <xf numFmtId="44" fontId="9" fillId="24" borderId="8" xfId="1" applyFont="1" applyFill="1" applyBorder="1" applyAlignment="1">
      <alignment horizontal="center"/>
    </xf>
    <xf numFmtId="44" fontId="9" fillId="24" borderId="9" xfId="1" applyFont="1" applyFill="1" applyBorder="1" applyAlignment="1">
      <alignment horizontal="center"/>
    </xf>
    <xf numFmtId="44" fontId="9" fillId="24" borderId="10" xfId="1" applyFont="1" applyFill="1" applyBorder="1" applyAlignment="1">
      <alignment horizontal="center"/>
    </xf>
    <xf numFmtId="44" fontId="7" fillId="22" borderId="0" xfId="1" applyFont="1" applyFill="1"/>
    <xf numFmtId="44" fontId="0" fillId="22" borderId="0" xfId="1" applyFont="1" applyFill="1"/>
    <xf numFmtId="44" fontId="0" fillId="22" borderId="0" xfId="1" applyFont="1" applyFill="1" applyAlignment="1">
      <alignment vertical="center"/>
    </xf>
    <xf numFmtId="44" fontId="0" fillId="10" borderId="13" xfId="1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44" fontId="10" fillId="22" borderId="42" xfId="1" applyFont="1" applyFill="1" applyBorder="1" applyAlignment="1">
      <alignment horizontal="center"/>
    </xf>
    <xf numFmtId="44" fontId="10" fillId="22" borderId="47" xfId="1" applyFont="1" applyFill="1" applyBorder="1" applyAlignment="1">
      <alignment horizontal="center"/>
    </xf>
    <xf numFmtId="44" fontId="10" fillId="22" borderId="48" xfId="1" applyFont="1" applyFill="1" applyBorder="1" applyAlignment="1">
      <alignment horizontal="center"/>
    </xf>
    <xf numFmtId="44" fontId="9" fillId="22" borderId="2" xfId="1" applyFont="1" applyFill="1" applyBorder="1" applyAlignment="1">
      <alignment horizontal="left"/>
    </xf>
    <xf numFmtId="44" fontId="9" fillId="22" borderId="3" xfId="1" applyFont="1" applyFill="1" applyBorder="1" applyAlignment="1">
      <alignment horizontal="left"/>
    </xf>
    <xf numFmtId="44" fontId="11" fillId="26" borderId="3" xfId="1" applyFont="1" applyFill="1" applyBorder="1" applyAlignment="1">
      <alignment horizontal="left"/>
    </xf>
    <xf numFmtId="44" fontId="11" fillId="26" borderId="4" xfId="1" applyFont="1" applyFill="1" applyBorder="1" applyAlignment="1">
      <alignment horizontal="left"/>
    </xf>
    <xf numFmtId="44" fontId="0" fillId="17" borderId="9" xfId="1" applyFont="1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44" fontId="0" fillId="8" borderId="9" xfId="1" applyFont="1" applyFill="1" applyBorder="1" applyAlignment="1">
      <alignment horizontal="center"/>
    </xf>
    <xf numFmtId="44" fontId="0" fillId="8" borderId="8" xfId="1" applyFont="1" applyFill="1" applyBorder="1" applyAlignment="1">
      <alignment horizontal="center"/>
    </xf>
    <xf numFmtId="44" fontId="12" fillId="8" borderId="8" xfId="1" applyFont="1" applyFill="1" applyBorder="1" applyAlignment="1">
      <alignment horizontal="center"/>
    </xf>
    <xf numFmtId="44" fontId="0" fillId="8" borderId="11" xfId="1" applyFont="1" applyFill="1" applyBorder="1" applyAlignment="1">
      <alignment horizontal="center"/>
    </xf>
    <xf numFmtId="44" fontId="0" fillId="8" borderId="12" xfId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Anual!$F$28:$F$38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Anual!$G$28:$G$38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330.1</c:v>
                </c:pt>
                <c:pt idx="2">
                  <c:v>0</c:v>
                </c:pt>
                <c:pt idx="3">
                  <c:v>0</c:v>
                </c:pt>
                <c:pt idx="4">
                  <c:v>302.22000000000003</c:v>
                </c:pt>
                <c:pt idx="5">
                  <c:v>500</c:v>
                </c:pt>
                <c:pt idx="6">
                  <c:v>40</c:v>
                </c:pt>
                <c:pt idx="7">
                  <c:v>877</c:v>
                </c:pt>
                <c:pt idx="8">
                  <c:v>0</c:v>
                </c:pt>
                <c:pt idx="9">
                  <c:v>3945.2699999999995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áf14"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>
    <tabColor theme="4" tint="0.59999389629810485"/>
  </sheetPr>
  <dimension ref="B1:P90"/>
  <sheetViews>
    <sheetView showGridLines="0" topLeftCell="A76" zoomScale="80" zoomScaleNormal="80" workbookViewId="0">
      <selection activeCell="D90" sqref="D90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34.42578125" bestFit="1" customWidth="1"/>
    <col min="12" max="12" width="11.42578125" bestFit="1" customWidth="1"/>
    <col min="13" max="13" width="12" customWidth="1"/>
    <col min="14" max="14" width="33.5703125" bestFit="1" customWidth="1"/>
    <col min="15" max="15" width="19" bestFit="1" customWidth="1"/>
    <col min="16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</row>
    <row r="3" spans="2:16" ht="15.75" thickBot="1" x14ac:dyDescent="0.3">
      <c r="B3" s="10" t="s">
        <v>4</v>
      </c>
      <c r="C3" s="29" t="s">
        <v>125</v>
      </c>
      <c r="D3" s="30">
        <v>1443.24</v>
      </c>
      <c r="E3" s="141" t="s">
        <v>1</v>
      </c>
      <c r="F3" s="38">
        <f>SUM(D3,D5,D6,D7,D4)</f>
        <v>2246.5699999999997</v>
      </c>
      <c r="H3" s="116"/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103.33</v>
      </c>
      <c r="E4" s="142" t="s">
        <v>182</v>
      </c>
      <c r="F4" s="37">
        <f>SUM(F11:F32)</f>
        <v>568.0200000000001</v>
      </c>
      <c r="H4" t="s">
        <v>142</v>
      </c>
      <c r="I4" s="15">
        <f ca="1">TODAY()</f>
        <v>46164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>
        <v>700</v>
      </c>
      <c r="E5" s="143" t="s">
        <v>183</v>
      </c>
      <c r="F5" s="93">
        <f>D4</f>
        <v>103.33</v>
      </c>
      <c r="I5" s="17" t="s">
        <v>7</v>
      </c>
      <c r="K5" s="117" t="s">
        <v>179</v>
      </c>
      <c r="L5" s="118">
        <f>SUM(P10:P25)</f>
        <v>103.33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337</v>
      </c>
      <c r="I6" s="14">
        <v>46026</v>
      </c>
      <c r="K6" s="138" t="s">
        <v>171</v>
      </c>
      <c r="L6" s="139"/>
    </row>
    <row r="7" spans="2:16" ht="15.75" thickBot="1" x14ac:dyDescent="0.3">
      <c r="B7" s="8"/>
      <c r="C7" s="9"/>
      <c r="D7" s="28"/>
      <c r="E7" s="145" t="s">
        <v>108</v>
      </c>
      <c r="F7" s="39">
        <f>F3-F4-F6</f>
        <v>1341.5499999999997</v>
      </c>
    </row>
    <row r="8" spans="2:16" ht="15.75" thickBot="1" x14ac:dyDescent="0.3"/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135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136</v>
      </c>
      <c r="N10" s="90">
        <v>46044</v>
      </c>
      <c r="O10" s="85" t="s">
        <v>137</v>
      </c>
      <c r="P10" s="55">
        <v>50</v>
      </c>
    </row>
    <row r="11" spans="2:16" x14ac:dyDescent="0.25">
      <c r="B11" s="21">
        <v>46026</v>
      </c>
      <c r="C11" s="16" t="s">
        <v>25</v>
      </c>
      <c r="D11" s="16" t="s">
        <v>37</v>
      </c>
      <c r="E11" s="16" t="s">
        <v>127</v>
      </c>
      <c r="F11" s="33">
        <v>63</v>
      </c>
      <c r="H11" s="18">
        <v>46026</v>
      </c>
      <c r="I11" s="13" t="s">
        <v>93</v>
      </c>
      <c r="J11" s="13" t="s">
        <v>126</v>
      </c>
      <c r="K11" s="55">
        <v>30</v>
      </c>
      <c r="M11" s="72" t="s">
        <v>140</v>
      </c>
      <c r="N11" s="91">
        <v>46048</v>
      </c>
      <c r="O11" s="82" t="s">
        <v>141</v>
      </c>
      <c r="P11" s="56">
        <v>53.33</v>
      </c>
    </row>
    <row r="12" spans="2:16" x14ac:dyDescent="0.25">
      <c r="B12" s="22">
        <v>46028</v>
      </c>
      <c r="C12" s="7" t="s">
        <v>23</v>
      </c>
      <c r="D12" s="7" t="s">
        <v>29</v>
      </c>
      <c r="E12" s="7" t="s">
        <v>128</v>
      </c>
      <c r="F12" s="34">
        <v>30</v>
      </c>
      <c r="H12" s="19">
        <v>46027</v>
      </c>
      <c r="I12" s="13" t="s">
        <v>99</v>
      </c>
      <c r="J12" s="1" t="s">
        <v>40</v>
      </c>
      <c r="K12" s="56">
        <v>147</v>
      </c>
      <c r="M12" s="72"/>
      <c r="N12" s="91"/>
      <c r="O12" s="82"/>
      <c r="P12" s="56"/>
    </row>
    <row r="13" spans="2:16" x14ac:dyDescent="0.25">
      <c r="B13" s="22">
        <v>46029</v>
      </c>
      <c r="C13" s="7" t="s">
        <v>25</v>
      </c>
      <c r="D13" s="7" t="s">
        <v>124</v>
      </c>
      <c r="E13" s="7" t="s">
        <v>129</v>
      </c>
      <c r="F13" s="34">
        <v>349</v>
      </c>
      <c r="H13" s="19">
        <v>46034</v>
      </c>
      <c r="I13" s="13" t="s">
        <v>93</v>
      </c>
      <c r="J13" s="1" t="s">
        <v>118</v>
      </c>
      <c r="K13" s="56">
        <v>30</v>
      </c>
      <c r="M13" s="72"/>
      <c r="N13" s="91"/>
      <c r="O13" s="82"/>
      <c r="P13" s="56"/>
    </row>
    <row r="14" spans="2:16" x14ac:dyDescent="0.25">
      <c r="B14" s="22">
        <v>46029</v>
      </c>
      <c r="C14" s="7" t="s">
        <v>23</v>
      </c>
      <c r="D14" s="7" t="s">
        <v>74</v>
      </c>
      <c r="E14" s="7" t="s">
        <v>130</v>
      </c>
      <c r="F14" s="34">
        <v>42</v>
      </c>
      <c r="H14" s="19">
        <v>46032</v>
      </c>
      <c r="I14" s="13" t="s">
        <v>96</v>
      </c>
      <c r="J14" s="1"/>
      <c r="K14" s="56">
        <v>30</v>
      </c>
      <c r="M14" s="72"/>
      <c r="N14" s="91"/>
      <c r="O14" s="82"/>
      <c r="P14" s="56"/>
    </row>
    <row r="15" spans="2:16" x14ac:dyDescent="0.25">
      <c r="B15" s="22">
        <v>46031</v>
      </c>
      <c r="C15" s="7" t="s">
        <v>21</v>
      </c>
      <c r="D15" s="7" t="s">
        <v>33</v>
      </c>
      <c r="E15" s="7" t="s">
        <v>131</v>
      </c>
      <c r="F15" s="34">
        <v>23.69</v>
      </c>
      <c r="H15" s="19">
        <v>46035</v>
      </c>
      <c r="I15" s="13" t="s">
        <v>99</v>
      </c>
      <c r="J15" s="1" t="s">
        <v>132</v>
      </c>
      <c r="K15" s="56">
        <v>70</v>
      </c>
      <c r="M15" s="72"/>
      <c r="N15" s="91"/>
      <c r="O15" s="82"/>
      <c r="P15" s="56"/>
    </row>
    <row r="16" spans="2:16" x14ac:dyDescent="0.25">
      <c r="B16" s="22">
        <v>46036</v>
      </c>
      <c r="C16" s="7" t="s">
        <v>117</v>
      </c>
      <c r="D16" s="7" t="s">
        <v>122</v>
      </c>
      <c r="E16" s="7" t="s">
        <v>118</v>
      </c>
      <c r="F16" s="34">
        <v>24</v>
      </c>
      <c r="H16" s="19">
        <v>46038</v>
      </c>
      <c r="I16" s="13" t="s">
        <v>93</v>
      </c>
      <c r="J16" s="1" t="s">
        <v>133</v>
      </c>
      <c r="K16" s="56">
        <v>30</v>
      </c>
      <c r="M16" s="72"/>
      <c r="N16" s="91"/>
      <c r="O16" s="82"/>
      <c r="P16" s="56"/>
    </row>
    <row r="17" spans="2:16" x14ac:dyDescent="0.25">
      <c r="B17" s="22">
        <v>46040</v>
      </c>
      <c r="C17" s="7" t="s">
        <v>25</v>
      </c>
      <c r="D17" s="7" t="s">
        <v>69</v>
      </c>
      <c r="E17" s="7" t="s">
        <v>134</v>
      </c>
      <c r="F17" s="34">
        <v>10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46045</v>
      </c>
      <c r="C18" s="7" t="s">
        <v>25</v>
      </c>
      <c r="D18" s="7" t="s">
        <v>39</v>
      </c>
      <c r="E18" s="7" t="s">
        <v>138</v>
      </c>
      <c r="F18" s="34">
        <v>20.95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46047</v>
      </c>
      <c r="C19" s="7" t="s">
        <v>116</v>
      </c>
      <c r="D19" s="7" t="s">
        <v>121</v>
      </c>
      <c r="E19" s="7" t="s">
        <v>139</v>
      </c>
      <c r="F19" s="34">
        <v>5.38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337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90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30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23.69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217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23.69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93.95</v>
      </c>
      <c r="C51" s="63" t="s">
        <v>69</v>
      </c>
      <c r="D51" s="64">
        <f t="shared" si="0"/>
        <v>10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63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20.95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72</v>
      </c>
      <c r="C59" s="63" t="s">
        <v>29</v>
      </c>
      <c r="D59" s="64">
        <f t="shared" si="0"/>
        <v>30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42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sheetProtection selectLockedCells="1" selectUnlockedCells="1"/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>
    <tabColor theme="4" tint="0.59999389629810485"/>
  </sheetPr>
  <dimension ref="B1:P90"/>
  <sheetViews>
    <sheetView showGridLines="0" topLeftCell="D1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11.42578125" bestFit="1" customWidth="1"/>
    <col min="13" max="13" width="12" customWidth="1"/>
    <col min="14" max="14" width="32.42578125" bestFit="1" customWidth="1"/>
    <col min="15" max="15" width="16.42578125" bestFit="1" customWidth="1"/>
    <col min="16" max="16" width="13.140625" bestFit="1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</row>
    <row r="3" spans="2:16" ht="15.75" thickBot="1" x14ac:dyDescent="0.3">
      <c r="B3" s="10" t="s">
        <v>4</v>
      </c>
      <c r="C3" s="29"/>
      <c r="D3" s="30">
        <v>740</v>
      </c>
      <c r="E3" s="141" t="s">
        <v>1</v>
      </c>
      <c r="F3" s="38">
        <f>SUM(D3,D5,D6,D7,D4)</f>
        <v>2281.5499999999997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200</v>
      </c>
      <c r="E4" s="142" t="s">
        <v>182</v>
      </c>
      <c r="F4" s="37">
        <f>SUM(F11:F32)</f>
        <v>561.57999999999993</v>
      </c>
      <c r="I4" s="15">
        <f ca="1">TODAY()</f>
        <v>46164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200</v>
      </c>
      <c r="I5" s="17" t="s">
        <v>7</v>
      </c>
      <c r="K5" s="117" t="s">
        <v>179</v>
      </c>
      <c r="L5" s="118">
        <f>SUM(P10:P25)</f>
        <v>200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362.2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Jan!F7</f>
        <v>1341.5499999999997</v>
      </c>
      <c r="E7" s="145" t="s">
        <v>108</v>
      </c>
      <c r="F7" s="39">
        <f>F3-F4-F6</f>
        <v>1357.7699999999998</v>
      </c>
    </row>
    <row r="8" spans="2:16" ht="15.75" thickBot="1" x14ac:dyDescent="0.3"/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154</v>
      </c>
      <c r="N10" s="90">
        <v>46081</v>
      </c>
      <c r="O10" s="85" t="s">
        <v>155</v>
      </c>
      <c r="P10" s="55">
        <v>200</v>
      </c>
    </row>
    <row r="11" spans="2:16" x14ac:dyDescent="0.25">
      <c r="B11" s="21">
        <v>46064</v>
      </c>
      <c r="C11" s="16" t="s">
        <v>25</v>
      </c>
      <c r="D11" s="16" t="s">
        <v>39</v>
      </c>
      <c r="E11" s="16" t="s">
        <v>147</v>
      </c>
      <c r="F11" s="33">
        <f>39+135</f>
        <v>174</v>
      </c>
      <c r="H11" s="18">
        <v>46054</v>
      </c>
      <c r="I11" s="13" t="s">
        <v>98</v>
      </c>
      <c r="J11" s="13" t="s">
        <v>143</v>
      </c>
      <c r="K11" s="55">
        <v>40</v>
      </c>
      <c r="M11" s="72"/>
      <c r="N11" s="91"/>
      <c r="O11" s="82"/>
      <c r="P11" s="56"/>
    </row>
    <row r="12" spans="2:16" x14ac:dyDescent="0.25">
      <c r="B12" s="22">
        <v>46066</v>
      </c>
      <c r="C12" s="7" t="s">
        <v>23</v>
      </c>
      <c r="D12" s="7" t="s">
        <v>24</v>
      </c>
      <c r="E12" s="7" t="s">
        <v>150</v>
      </c>
      <c r="F12" s="34">
        <v>238.42</v>
      </c>
      <c r="H12" s="19">
        <v>46055</v>
      </c>
      <c r="I12" s="13" t="s">
        <v>96</v>
      </c>
      <c r="J12" s="1" t="s">
        <v>144</v>
      </c>
      <c r="K12" s="56">
        <f>25.1+31.6</f>
        <v>56.7</v>
      </c>
      <c r="M12" s="72"/>
      <c r="N12" s="91"/>
      <c r="O12" s="82"/>
      <c r="P12" s="56"/>
    </row>
    <row r="13" spans="2:16" x14ac:dyDescent="0.25">
      <c r="B13" s="22">
        <v>46066</v>
      </c>
      <c r="C13" s="7" t="s">
        <v>23</v>
      </c>
      <c r="D13" s="7" t="s">
        <v>74</v>
      </c>
      <c r="E13" s="7" t="s">
        <v>151</v>
      </c>
      <c r="F13" s="34">
        <v>57.92</v>
      </c>
      <c r="H13" s="19">
        <v>46062</v>
      </c>
      <c r="I13" s="13" t="s">
        <v>99</v>
      </c>
      <c r="J13" s="1" t="s">
        <v>145</v>
      </c>
      <c r="K13" s="56">
        <v>143.5</v>
      </c>
      <c r="M13" s="72"/>
      <c r="N13" s="91"/>
      <c r="O13" s="82"/>
      <c r="P13" s="56"/>
    </row>
    <row r="14" spans="2:16" x14ac:dyDescent="0.25">
      <c r="B14" s="22">
        <v>46068</v>
      </c>
      <c r="C14" s="7" t="s">
        <v>25</v>
      </c>
      <c r="D14" s="7" t="s">
        <v>39</v>
      </c>
      <c r="E14" s="7" t="s">
        <v>152</v>
      </c>
      <c r="F14" s="34">
        <f>37.14+15.1</f>
        <v>52.24</v>
      </c>
      <c r="H14" s="19">
        <v>46062</v>
      </c>
      <c r="I14" s="13" t="s">
        <v>99</v>
      </c>
      <c r="J14" s="1" t="s">
        <v>146</v>
      </c>
      <c r="K14" s="56">
        <v>70</v>
      </c>
      <c r="M14" s="72"/>
      <c r="N14" s="91"/>
      <c r="O14" s="82"/>
      <c r="P14" s="56"/>
    </row>
    <row r="15" spans="2:16" x14ac:dyDescent="0.25">
      <c r="B15" s="22">
        <v>46081</v>
      </c>
      <c r="C15" s="7" t="s">
        <v>21</v>
      </c>
      <c r="D15" s="7" t="s">
        <v>33</v>
      </c>
      <c r="E15" s="7" t="s">
        <v>153</v>
      </c>
      <c r="F15" s="34">
        <v>39</v>
      </c>
      <c r="H15" s="19">
        <v>46063</v>
      </c>
      <c r="I15" s="13" t="s">
        <v>93</v>
      </c>
      <c r="J15" s="1" t="s">
        <v>148</v>
      </c>
      <c r="K15" s="56">
        <v>7</v>
      </c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>
        <v>46064</v>
      </c>
      <c r="I16" s="13" t="s">
        <v>93</v>
      </c>
      <c r="J16" s="1" t="s">
        <v>149</v>
      </c>
      <c r="K16" s="56">
        <v>30</v>
      </c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>
        <v>46065</v>
      </c>
      <c r="I17" s="13" t="s">
        <v>93</v>
      </c>
      <c r="J17" s="1" t="s">
        <v>118</v>
      </c>
      <c r="K17" s="56">
        <v>15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362.2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52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56.7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40</v>
      </c>
    </row>
    <row r="42" spans="2:9" ht="15.75" thickBot="1" x14ac:dyDescent="0.3">
      <c r="B42" s="68">
        <f>SUBTOTAL(9,D41:D48)</f>
        <v>39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213.5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39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95">
        <f>SUM(D50:D56)</f>
        <v>226.24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226.24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296.33999999999997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57.92</v>
      </c>
    </row>
    <row r="63" spans="2:4" x14ac:dyDescent="0.25">
      <c r="C63" s="63" t="s">
        <v>24</v>
      </c>
      <c r="D63" s="64">
        <f t="shared" si="0"/>
        <v>238.42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16.85546875" bestFit="1" customWidth="1"/>
    <col min="6" max="6" width="13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</row>
    <row r="3" spans="2:16" ht="15.75" thickBot="1" x14ac:dyDescent="0.3">
      <c r="B3" s="10" t="s">
        <v>4</v>
      </c>
      <c r="C3" s="29"/>
      <c r="D3" s="30">
        <v>500</v>
      </c>
      <c r="E3" s="141" t="s">
        <v>1</v>
      </c>
      <c r="F3" s="38">
        <f>SUM(D3,D5,D6,D7,D4)</f>
        <v>2080.7699999999995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1203.6300000000001</v>
      </c>
      <c r="I4" s="15">
        <f ca="1">TODAY()</f>
        <v>46164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>
        <v>223</v>
      </c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434.6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Fev!F7</f>
        <v>1357.7699999999998</v>
      </c>
      <c r="E7" s="145" t="s">
        <v>108</v>
      </c>
      <c r="F7" s="39">
        <f>F3-(F4+F6)</f>
        <v>442.53999999999951</v>
      </c>
    </row>
    <row r="8" spans="2:16" ht="15.75" thickBot="1" x14ac:dyDescent="0.3"/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46083</v>
      </c>
      <c r="C11" s="16" t="s">
        <v>64</v>
      </c>
      <c r="D11" s="16" t="s">
        <v>77</v>
      </c>
      <c r="E11" s="16" t="s">
        <v>156</v>
      </c>
      <c r="F11" s="33">
        <v>34.450000000000003</v>
      </c>
      <c r="H11" s="18">
        <v>46084</v>
      </c>
      <c r="I11" s="13" t="s">
        <v>96</v>
      </c>
      <c r="J11" s="13"/>
      <c r="K11" s="55">
        <v>55.8</v>
      </c>
      <c r="M11" s="72"/>
      <c r="N11" s="91"/>
      <c r="O11" s="82"/>
      <c r="P11" s="56"/>
    </row>
    <row r="12" spans="2:16" x14ac:dyDescent="0.25">
      <c r="B12" s="22">
        <v>46087</v>
      </c>
      <c r="C12" s="7" t="s">
        <v>23</v>
      </c>
      <c r="D12" s="7" t="s">
        <v>74</v>
      </c>
      <c r="E12" s="7" t="s">
        <v>157</v>
      </c>
      <c r="F12" s="34">
        <v>210</v>
      </c>
      <c r="H12" s="19">
        <v>46088</v>
      </c>
      <c r="I12" s="13" t="s">
        <v>93</v>
      </c>
      <c r="J12" s="1" t="s">
        <v>148</v>
      </c>
      <c r="K12" s="56">
        <v>6.8</v>
      </c>
      <c r="M12" s="72"/>
      <c r="N12" s="91"/>
      <c r="O12" s="82"/>
      <c r="P12" s="56"/>
    </row>
    <row r="13" spans="2:16" x14ac:dyDescent="0.25">
      <c r="B13" s="22">
        <v>46088</v>
      </c>
      <c r="C13" s="7" t="s">
        <v>21</v>
      </c>
      <c r="D13" s="7" t="s">
        <v>66</v>
      </c>
      <c r="E13" s="7" t="s">
        <v>158</v>
      </c>
      <c r="F13" s="34">
        <f>8.44*2</f>
        <v>16.88</v>
      </c>
      <c r="H13" s="19">
        <v>46088</v>
      </c>
      <c r="I13" s="13" t="s">
        <v>92</v>
      </c>
      <c r="J13" s="1"/>
      <c r="K13" s="56">
        <v>30</v>
      </c>
      <c r="M13" s="72"/>
      <c r="N13" s="91"/>
      <c r="O13" s="82"/>
      <c r="P13" s="56"/>
    </row>
    <row r="14" spans="2:16" x14ac:dyDescent="0.25">
      <c r="B14" s="22">
        <v>46088</v>
      </c>
      <c r="C14" s="7" t="s">
        <v>21</v>
      </c>
      <c r="D14" s="7" t="s">
        <v>66</v>
      </c>
      <c r="E14" s="7" t="s">
        <v>153</v>
      </c>
      <c r="F14" s="34">
        <v>31</v>
      </c>
      <c r="H14" s="19">
        <v>46089</v>
      </c>
      <c r="I14" s="13" t="s">
        <v>97</v>
      </c>
      <c r="J14" s="1"/>
      <c r="K14" s="56">
        <v>50</v>
      </c>
      <c r="M14" s="72"/>
      <c r="N14" s="91"/>
      <c r="O14" s="82"/>
      <c r="P14" s="56"/>
    </row>
    <row r="15" spans="2:16" x14ac:dyDescent="0.25">
      <c r="B15" s="22">
        <v>46092</v>
      </c>
      <c r="C15" s="7" t="s">
        <v>25</v>
      </c>
      <c r="D15" s="7" t="s">
        <v>37</v>
      </c>
      <c r="E15" s="7" t="s">
        <v>159</v>
      </c>
      <c r="F15" s="34">
        <v>19.3</v>
      </c>
      <c r="H15" s="19">
        <v>46099</v>
      </c>
      <c r="I15" s="13" t="s">
        <v>93</v>
      </c>
      <c r="J15" s="1" t="s">
        <v>118</v>
      </c>
      <c r="K15" s="56">
        <v>40</v>
      </c>
      <c r="M15" s="72"/>
      <c r="N15" s="91"/>
      <c r="O15" s="82"/>
      <c r="P15" s="56"/>
    </row>
    <row r="16" spans="2:16" x14ac:dyDescent="0.25">
      <c r="B16" s="22">
        <v>46098</v>
      </c>
      <c r="C16" s="7" t="s">
        <v>34</v>
      </c>
      <c r="D16" s="7" t="s">
        <v>91</v>
      </c>
      <c r="E16" s="7" t="s">
        <v>160</v>
      </c>
      <c r="F16" s="34">
        <v>880</v>
      </c>
      <c r="H16" s="19">
        <v>46091</v>
      </c>
      <c r="I16" s="13" t="s">
        <v>99</v>
      </c>
      <c r="J16" s="1" t="s">
        <v>145</v>
      </c>
      <c r="K16" s="56">
        <v>149.5</v>
      </c>
      <c r="M16" s="72"/>
      <c r="N16" s="91"/>
      <c r="O16" s="82"/>
      <c r="P16" s="56"/>
    </row>
    <row r="17" spans="2:16" x14ac:dyDescent="0.25">
      <c r="B17" s="22">
        <v>46101</v>
      </c>
      <c r="C17" s="7" t="s">
        <v>116</v>
      </c>
      <c r="D17" s="7" t="s">
        <v>61</v>
      </c>
      <c r="E17" s="7" t="s">
        <v>161</v>
      </c>
      <c r="F17" s="34">
        <v>12</v>
      </c>
      <c r="H17" s="19">
        <v>46103</v>
      </c>
      <c r="I17" s="13" t="s">
        <v>93</v>
      </c>
      <c r="J17" s="1"/>
      <c r="K17" s="56">
        <v>67.5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>
        <v>46101</v>
      </c>
      <c r="I18" s="13" t="s">
        <v>119</v>
      </c>
      <c r="J18" s="1"/>
      <c r="K18" s="56">
        <v>35</v>
      </c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434.6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30</v>
      </c>
    </row>
    <row r="36" spans="2:9" ht="15.75" thickBot="1" x14ac:dyDescent="0.3">
      <c r="B36" s="68">
        <f>SUM(D35:D39)</f>
        <v>12</v>
      </c>
      <c r="C36" s="63" t="s">
        <v>61</v>
      </c>
      <c r="D36" s="64">
        <f t="shared" ref="D36:D88" si="0">SUMIF($D$11:$D$32,C36,$F$11:$F$32)</f>
        <v>12</v>
      </c>
      <c r="H36" s="74" t="s">
        <v>93</v>
      </c>
      <c r="I36" s="64">
        <f t="shared" ref="I36:I45" si="1">SUMIF($I$11:$I$22,H36,$K$11:$K$22)</f>
        <v>114.3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55.8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50</v>
      </c>
    </row>
    <row r="41" spans="2:9" x14ac:dyDescent="0.25">
      <c r="B41" s="67" t="s">
        <v>21</v>
      </c>
      <c r="C41" s="61" t="s">
        <v>66</v>
      </c>
      <c r="D41" s="62">
        <f t="shared" si="0"/>
        <v>47.879999999999995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47.879999999999995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149.5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19.3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19.3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210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210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34.450000000000003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34.450000000000003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880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880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>
    <tabColor theme="4" tint="0.59999389629810485"/>
  </sheetPr>
  <dimension ref="B1:P90"/>
  <sheetViews>
    <sheetView showGridLines="0" zoomScale="80" zoomScaleNormal="80" workbookViewId="0">
      <selection activeCell="E21" sqref="E21:F2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27.140625" bestFit="1" customWidth="1"/>
    <col min="6" max="6" width="13.7109375" bestFit="1" customWidth="1"/>
    <col min="7" max="7" width="2.5703125" customWidth="1"/>
    <col min="8" max="8" width="17.85546875" bestFit="1" customWidth="1"/>
    <col min="9" max="9" width="19.42578125" bestFit="1" customWidth="1"/>
    <col min="10" max="10" width="14.7109375" bestFit="1" customWidth="1"/>
    <col min="11" max="11" width="34.42578125" bestFit="1" customWidth="1"/>
    <col min="12" max="12" width="13" bestFit="1" customWidth="1"/>
    <col min="13" max="13" width="26.42578125" bestFit="1" customWidth="1"/>
    <col min="14" max="14" width="31.7109375" bestFit="1" customWidth="1"/>
    <col min="15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</row>
    <row r="3" spans="2:16" ht="15.75" thickBot="1" x14ac:dyDescent="0.3">
      <c r="B3" s="10" t="s">
        <v>4</v>
      </c>
      <c r="C3" s="29"/>
      <c r="D3" s="30">
        <v>2100</v>
      </c>
      <c r="E3" s="141" t="s">
        <v>1</v>
      </c>
      <c r="F3" s="38">
        <f>SUM(D3,D5,D6,D7,D4)</f>
        <v>2679.0399999999995</v>
      </c>
      <c r="I3" s="11" t="s">
        <v>5</v>
      </c>
      <c r="K3" s="117" t="s">
        <v>166</v>
      </c>
      <c r="L3" s="118">
        <v>1343</v>
      </c>
      <c r="M3" s="116"/>
    </row>
    <row r="4" spans="2:16" ht="15.75" thickBot="1" x14ac:dyDescent="0.3">
      <c r="B4" s="6" t="s">
        <v>109</v>
      </c>
      <c r="C4" s="7"/>
      <c r="D4" s="26">
        <f>SUM(P10:P25)</f>
        <v>136.5</v>
      </c>
      <c r="E4" s="142" t="s">
        <v>182</v>
      </c>
      <c r="F4" s="37">
        <f>SUM(F11:F32)</f>
        <v>723.11</v>
      </c>
      <c r="I4" s="15">
        <f ca="1">TODAY()</f>
        <v>46164</v>
      </c>
      <c r="K4" s="117" t="s">
        <v>167</v>
      </c>
      <c r="L4" s="118">
        <f>1185.57-201.64</f>
        <v>983.93</v>
      </c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136.5</v>
      </c>
      <c r="I5" s="17" t="s">
        <v>7</v>
      </c>
      <c r="K5" s="117" t="s">
        <v>179</v>
      </c>
      <c r="L5" s="118">
        <f>SUM(P10:P25)</f>
        <v>136.5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516.69000000000005</v>
      </c>
      <c r="I6" s="14">
        <v>46136</v>
      </c>
      <c r="K6" s="138" t="s">
        <v>171</v>
      </c>
      <c r="L6" s="140">
        <f>274.72-67.7-23.36-48-48.5-8.6-35.31-37.5-50-6.69</f>
        <v>-50.939999999999969</v>
      </c>
    </row>
    <row r="7" spans="2:16" ht="15.75" thickBot="1" x14ac:dyDescent="0.3">
      <c r="B7" s="8" t="s">
        <v>15</v>
      </c>
      <c r="C7" s="9"/>
      <c r="D7" s="28">
        <f>Mar!F7</f>
        <v>442.53999999999951</v>
      </c>
      <c r="E7" s="145" t="s">
        <v>108</v>
      </c>
      <c r="F7" s="39">
        <f>F3-F4-F6</f>
        <v>1439.2399999999993</v>
      </c>
      <c r="K7" t="s">
        <v>162</v>
      </c>
    </row>
    <row r="8" spans="2:16" ht="15.75" thickBot="1" x14ac:dyDescent="0.3"/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176</v>
      </c>
      <c r="N10" s="90">
        <v>46136</v>
      </c>
      <c r="O10" s="85" t="s">
        <v>177</v>
      </c>
      <c r="P10" s="55">
        <v>136.5</v>
      </c>
    </row>
    <row r="11" spans="2:16" x14ac:dyDescent="0.25">
      <c r="B11" s="21">
        <v>46118</v>
      </c>
      <c r="C11" s="16" t="s">
        <v>30</v>
      </c>
      <c r="D11" s="16" t="s">
        <v>61</v>
      </c>
      <c r="E11" s="16" t="s">
        <v>164</v>
      </c>
      <c r="F11" s="33">
        <v>17.5</v>
      </c>
      <c r="H11" s="18">
        <v>46114</v>
      </c>
      <c r="I11" s="13" t="s">
        <v>96</v>
      </c>
      <c r="J11" s="13"/>
      <c r="K11" s="55">
        <f>78+6.69</f>
        <v>84.69</v>
      </c>
      <c r="M11" s="72"/>
      <c r="N11" s="91"/>
      <c r="O11" s="82"/>
      <c r="P11" s="56"/>
    </row>
    <row r="12" spans="2:16" x14ac:dyDescent="0.25">
      <c r="B12" s="22">
        <v>46119</v>
      </c>
      <c r="C12" s="7" t="s">
        <v>30</v>
      </c>
      <c r="D12" s="7" t="s">
        <v>61</v>
      </c>
      <c r="E12" s="7" t="s">
        <v>165</v>
      </c>
      <c r="F12" s="34">
        <v>30</v>
      </c>
      <c r="H12" s="19">
        <v>46114</v>
      </c>
      <c r="I12" s="13" t="s">
        <v>93</v>
      </c>
      <c r="J12" s="1" t="s">
        <v>163</v>
      </c>
      <c r="K12" s="56">
        <v>30</v>
      </c>
      <c r="M12" s="72"/>
      <c r="N12" s="91"/>
      <c r="O12" s="82"/>
      <c r="P12" s="56"/>
    </row>
    <row r="13" spans="2:16" x14ac:dyDescent="0.25">
      <c r="B13" s="22">
        <v>46123</v>
      </c>
      <c r="C13" s="7" t="s">
        <v>21</v>
      </c>
      <c r="D13" s="7" t="s">
        <v>22</v>
      </c>
      <c r="E13" s="7" t="s">
        <v>170</v>
      </c>
      <c r="F13" s="34">
        <v>155</v>
      </c>
      <c r="H13" s="19">
        <v>46114</v>
      </c>
      <c r="I13" s="13" t="s">
        <v>93</v>
      </c>
      <c r="J13" s="1" t="s">
        <v>148</v>
      </c>
      <c r="K13" s="56">
        <v>7</v>
      </c>
      <c r="M13" s="72"/>
      <c r="N13" s="91"/>
      <c r="O13" s="82"/>
      <c r="P13" s="56"/>
    </row>
    <row r="14" spans="2:16" x14ac:dyDescent="0.25">
      <c r="B14" s="22">
        <v>46124</v>
      </c>
      <c r="C14" s="7" t="s">
        <v>25</v>
      </c>
      <c r="D14" s="7" t="s">
        <v>37</v>
      </c>
      <c r="E14" s="7" t="s">
        <v>172</v>
      </c>
      <c r="F14" s="34">
        <f>3.78+1.78+62.14</f>
        <v>67.7</v>
      </c>
      <c r="H14" s="19">
        <v>46123</v>
      </c>
      <c r="I14" s="13" t="s">
        <v>97</v>
      </c>
      <c r="J14" s="1" t="s">
        <v>169</v>
      </c>
      <c r="K14" s="56">
        <v>210</v>
      </c>
      <c r="M14" s="72"/>
      <c r="N14" s="91"/>
      <c r="O14" s="82"/>
      <c r="P14" s="56"/>
    </row>
    <row r="15" spans="2:16" x14ac:dyDescent="0.25">
      <c r="B15" s="22">
        <v>46124</v>
      </c>
      <c r="C15" s="7" t="s">
        <v>30</v>
      </c>
      <c r="D15" s="7" t="s">
        <v>101</v>
      </c>
      <c r="E15" s="7" t="s">
        <v>173</v>
      </c>
      <c r="F15" s="34">
        <v>23.36</v>
      </c>
      <c r="H15" s="19">
        <v>46123</v>
      </c>
      <c r="I15" s="13" t="s">
        <v>99</v>
      </c>
      <c r="J15" s="1" t="s">
        <v>40</v>
      </c>
      <c r="K15" s="56">
        <v>150</v>
      </c>
      <c r="M15" s="72"/>
      <c r="N15" s="91"/>
      <c r="O15" s="82"/>
      <c r="P15" s="56"/>
    </row>
    <row r="16" spans="2:16" x14ac:dyDescent="0.25">
      <c r="B16" s="22">
        <v>46132</v>
      </c>
      <c r="C16" s="7" t="s">
        <v>25</v>
      </c>
      <c r="D16" s="7" t="s">
        <v>37</v>
      </c>
      <c r="E16" s="7" t="s">
        <v>174</v>
      </c>
      <c r="F16" s="34">
        <v>48</v>
      </c>
      <c r="H16" s="19">
        <v>46130</v>
      </c>
      <c r="I16" s="13" t="s">
        <v>119</v>
      </c>
      <c r="J16" s="1"/>
      <c r="K16" s="56">
        <v>35</v>
      </c>
      <c r="M16" s="72"/>
      <c r="N16" s="91"/>
      <c r="O16" s="82"/>
      <c r="P16" s="56"/>
    </row>
    <row r="17" spans="2:16" x14ac:dyDescent="0.25">
      <c r="B17" s="22">
        <v>46133</v>
      </c>
      <c r="C17" s="7" t="s">
        <v>23</v>
      </c>
      <c r="D17" s="7" t="s">
        <v>74</v>
      </c>
      <c r="E17" s="7" t="s">
        <v>175</v>
      </c>
      <c r="F17" s="34">
        <v>48.5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46134</v>
      </c>
      <c r="C18" s="7" t="s">
        <v>30</v>
      </c>
      <c r="D18" s="7" t="s">
        <v>61</v>
      </c>
      <c r="E18" s="7"/>
      <c r="F18" s="34">
        <v>8.6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46138</v>
      </c>
      <c r="C19" s="7" t="s">
        <v>21</v>
      </c>
      <c r="D19" s="7" t="s">
        <v>33</v>
      </c>
      <c r="E19" s="7" t="s">
        <v>180</v>
      </c>
      <c r="F19" s="34">
        <v>35.31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>
        <v>46139</v>
      </c>
      <c r="C20" s="7" t="s">
        <v>25</v>
      </c>
      <c r="D20" s="7" t="s">
        <v>26</v>
      </c>
      <c r="E20" s="7" t="s">
        <v>181</v>
      </c>
      <c r="F20" s="34">
        <v>37.5</v>
      </c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 t="s">
        <v>100</v>
      </c>
      <c r="D21" s="7"/>
      <c r="E21" s="7" t="s">
        <v>186</v>
      </c>
      <c r="F21" s="34">
        <v>201.64</v>
      </c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>
        <v>46142</v>
      </c>
      <c r="C22" s="7" t="s">
        <v>34</v>
      </c>
      <c r="D22" s="7" t="s">
        <v>88</v>
      </c>
      <c r="E22" s="7" t="s">
        <v>187</v>
      </c>
      <c r="F22" s="34">
        <v>50</v>
      </c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516.69000000000005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23.36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79.460000000000008</v>
      </c>
      <c r="C36" s="63" t="s">
        <v>61</v>
      </c>
      <c r="D36" s="64">
        <f t="shared" ref="D36:D88" si="0">SUMIF($D$11:$D$32,C36,$F$11:$F$32)</f>
        <v>56.1</v>
      </c>
      <c r="H36" s="74" t="s">
        <v>93</v>
      </c>
      <c r="I36" s="64">
        <f t="shared" ref="I36:I45" si="1">SUMIF($I$11:$I$22,H36,$K$11:$K$22)</f>
        <v>37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84.69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210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190.31</v>
      </c>
      <c r="C42" s="63" t="s">
        <v>22</v>
      </c>
      <c r="D42" s="64">
        <f t="shared" si="0"/>
        <v>155</v>
      </c>
      <c r="H42" s="74" t="s">
        <v>99</v>
      </c>
      <c r="I42" s="64">
        <f t="shared" si="1"/>
        <v>150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35.31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37.5</v>
      </c>
    </row>
    <row r="51" spans="2:4" ht="15.75" thickBot="1" x14ac:dyDescent="0.3">
      <c r="B51" s="68">
        <f>SUM(D50:D56)</f>
        <v>153.19999999999999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115.7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48.5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48.5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50</v>
      </c>
      <c r="C83" s="63" t="s">
        <v>88</v>
      </c>
      <c r="D83" s="64">
        <f>SUMIF($D$11:$D$32,C83,$F$11:$F$32)</f>
        <v>50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201.64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C12:C20 C22:C32</xm:sqref>
        </x14:dataValidation>
        <x14:dataValidation type="list" allowBlank="1" showInputMessage="1" showErrorMessage="1">
          <x14:formula1>
            <xm:f>Modelo!$P$3:$P$11</xm:f>
          </x14:formula1>
          <xm:sqref>C11 C21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>
    <tabColor theme="4" tint="0.59999389629810485"/>
  </sheetPr>
  <dimension ref="B1:Q90"/>
  <sheetViews>
    <sheetView showGridLines="0" zoomScale="70" zoomScaleNormal="70" workbookViewId="0">
      <selection activeCell="O4" sqref="O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8.42578125" bestFit="1" customWidth="1"/>
    <col min="5" max="5" width="22" bestFit="1" customWidth="1"/>
    <col min="6" max="6" width="14.85546875" bestFit="1" customWidth="1"/>
    <col min="7" max="7" width="2.5703125" customWidth="1"/>
    <col min="8" max="8" width="12.85546875" customWidth="1"/>
    <col min="9" max="9" width="19.5703125" bestFit="1" customWidth="1"/>
    <col min="10" max="10" width="11.7109375" bestFit="1" customWidth="1"/>
    <col min="11" max="11" width="34.42578125" bestFit="1" customWidth="1"/>
    <col min="12" max="12" width="15" bestFit="1" customWidth="1"/>
    <col min="13" max="13" width="12" customWidth="1"/>
    <col min="14" max="14" width="16.7109375" customWidth="1"/>
    <col min="15" max="15" width="15.7109375" bestFit="1" customWidth="1"/>
    <col min="16" max="16" width="14.28515625" bestFit="1" customWidth="1"/>
    <col min="17" max="17" width="13.140625" bestFit="1" customWidth="1"/>
  </cols>
  <sheetData>
    <row r="1" spans="2:17" ht="15.75" thickBot="1" x14ac:dyDescent="0.3"/>
    <row r="2" spans="2:17" ht="15.75" thickBot="1" x14ac:dyDescent="0.3">
      <c r="B2" s="11" t="s">
        <v>18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  <c r="N2" t="s">
        <v>208</v>
      </c>
      <c r="O2" t="s">
        <v>192</v>
      </c>
      <c r="P2" s="148"/>
    </row>
    <row r="3" spans="2:17" ht="15.75" thickBot="1" x14ac:dyDescent="0.3">
      <c r="B3" s="10" t="s">
        <v>4</v>
      </c>
      <c r="C3" s="29"/>
      <c r="D3" s="30">
        <f>2500-O3-50</f>
        <v>420</v>
      </c>
      <c r="E3" s="141" t="s">
        <v>1</v>
      </c>
      <c r="F3" s="38">
        <f>SUM(D3,D5,D6,D7,D4)</f>
        <v>1879.2399999999993</v>
      </c>
      <c r="H3" s="116"/>
      <c r="I3" s="11" t="s">
        <v>5</v>
      </c>
      <c r="K3" s="117" t="s">
        <v>166</v>
      </c>
      <c r="L3" s="118">
        <f>(Abr!L3+320+840)</f>
        <v>2503</v>
      </c>
      <c r="N3" s="116">
        <f>L3-O3</f>
        <v>473</v>
      </c>
      <c r="O3" s="116">
        <f>300+500+150+400+50+630</f>
        <v>2030</v>
      </c>
      <c r="P3" s="116"/>
      <c r="Q3" s="116"/>
    </row>
    <row r="4" spans="2:17" ht="15.75" thickBot="1" x14ac:dyDescent="0.3">
      <c r="B4" s="6" t="s">
        <v>109</v>
      </c>
      <c r="C4" s="7"/>
      <c r="D4" s="26">
        <f>SUM(P10:P25)</f>
        <v>20</v>
      </c>
      <c r="E4" s="142" t="s">
        <v>182</v>
      </c>
      <c r="F4" s="37">
        <f>SUM(F11:F32)</f>
        <v>3687.9200000000005</v>
      </c>
      <c r="I4" s="15">
        <f ca="1">TODAY()</f>
        <v>46164</v>
      </c>
      <c r="K4" s="117" t="s">
        <v>209</v>
      </c>
      <c r="L4" s="118">
        <v>0</v>
      </c>
      <c r="O4" s="116"/>
      <c r="P4" s="116"/>
    </row>
    <row r="5" spans="2:17" ht="15.75" thickBot="1" x14ac:dyDescent="0.3">
      <c r="B5" s="24" t="s">
        <v>6</v>
      </c>
      <c r="C5" s="25"/>
      <c r="D5" s="27"/>
      <c r="E5" s="143" t="s">
        <v>183</v>
      </c>
      <c r="F5" s="93">
        <f>D4</f>
        <v>20</v>
      </c>
      <c r="I5" s="17" t="s">
        <v>7</v>
      </c>
      <c r="K5" s="117" t="s">
        <v>179</v>
      </c>
      <c r="L5" s="118">
        <f>Abr!L5+SUM(P10:P25)</f>
        <v>156.5</v>
      </c>
      <c r="O5" s="116"/>
      <c r="P5" s="116"/>
    </row>
    <row r="6" spans="2:17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498.83</v>
      </c>
      <c r="I6" s="14">
        <v>46163</v>
      </c>
      <c r="K6" s="138" t="s">
        <v>171</v>
      </c>
      <c r="L6" s="158">
        <f>322-147-F20-F21</f>
        <v>83</v>
      </c>
      <c r="M6" t="s">
        <v>188</v>
      </c>
      <c r="O6" s="146">
        <f>O3+L6</f>
        <v>2113</v>
      </c>
    </row>
    <row r="7" spans="2:17" ht="15.75" thickBot="1" x14ac:dyDescent="0.3">
      <c r="B7" s="8" t="s">
        <v>15</v>
      </c>
      <c r="C7" s="9"/>
      <c r="D7" s="28">
        <f>Abr!F7</f>
        <v>1439.2399999999993</v>
      </c>
      <c r="E7" s="145" t="s">
        <v>108</v>
      </c>
      <c r="F7" s="39">
        <f>F3-F4-F6+L6</f>
        <v>-2224.5100000000011</v>
      </c>
      <c r="L7" s="116"/>
      <c r="P7" s="116"/>
    </row>
    <row r="8" spans="2:17" ht="15.75" thickBot="1" x14ac:dyDescent="0.3"/>
    <row r="9" spans="2:17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7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147" t="s">
        <v>189</v>
      </c>
      <c r="N10" s="90">
        <v>46144</v>
      </c>
      <c r="O10" s="85" t="s">
        <v>190</v>
      </c>
      <c r="P10" s="55">
        <v>20</v>
      </c>
    </row>
    <row r="11" spans="2:17" x14ac:dyDescent="0.25">
      <c r="B11" s="21">
        <v>46144</v>
      </c>
      <c r="C11" s="16" t="s">
        <v>21</v>
      </c>
      <c r="D11" s="16" t="s">
        <v>122</v>
      </c>
      <c r="E11" s="16" t="s">
        <v>118</v>
      </c>
      <c r="F11" s="33">
        <f>10+1.69</f>
        <v>11.69</v>
      </c>
      <c r="H11" s="18">
        <v>46144</v>
      </c>
      <c r="I11" s="13" t="s">
        <v>96</v>
      </c>
      <c r="J11" s="13"/>
      <c r="K11" s="55">
        <v>75.03</v>
      </c>
      <c r="M11" s="72"/>
      <c r="N11" s="91"/>
      <c r="O11" s="82"/>
      <c r="P11" s="56"/>
    </row>
    <row r="12" spans="2:17" x14ac:dyDescent="0.25">
      <c r="B12" s="22">
        <v>46145</v>
      </c>
      <c r="C12" s="7" t="s">
        <v>30</v>
      </c>
      <c r="D12" s="7" t="s">
        <v>120</v>
      </c>
      <c r="E12" s="7" t="s">
        <v>178</v>
      </c>
      <c r="F12" s="34">
        <v>28</v>
      </c>
      <c r="H12" s="19">
        <v>46145</v>
      </c>
      <c r="I12" s="13" t="s">
        <v>93</v>
      </c>
      <c r="J12" s="1" t="s">
        <v>148</v>
      </c>
      <c r="K12" s="56">
        <v>6.8</v>
      </c>
      <c r="M12" s="72"/>
      <c r="N12" s="91"/>
      <c r="O12" s="82"/>
      <c r="P12" s="56"/>
    </row>
    <row r="13" spans="2:17" x14ac:dyDescent="0.25">
      <c r="B13" s="22">
        <v>46145</v>
      </c>
      <c r="C13" s="7" t="s">
        <v>100</v>
      </c>
      <c r="D13" s="7"/>
      <c r="E13" s="7" t="s">
        <v>191</v>
      </c>
      <c r="F13" s="34">
        <v>1289.99</v>
      </c>
      <c r="H13" s="19">
        <v>46147</v>
      </c>
      <c r="I13" s="13" t="s">
        <v>93</v>
      </c>
      <c r="J13" s="1"/>
      <c r="K13" s="56">
        <v>30</v>
      </c>
      <c r="M13" s="72"/>
      <c r="N13" s="91"/>
      <c r="O13" s="82"/>
      <c r="P13" s="56"/>
    </row>
    <row r="14" spans="2:17" x14ac:dyDescent="0.25">
      <c r="B14" s="22">
        <v>46144</v>
      </c>
      <c r="C14" s="7" t="s">
        <v>21</v>
      </c>
      <c r="D14" s="7" t="s">
        <v>33</v>
      </c>
      <c r="E14" s="7" t="s">
        <v>206</v>
      </c>
      <c r="F14" s="34">
        <v>44.7</v>
      </c>
      <c r="H14" s="19">
        <v>46150</v>
      </c>
      <c r="I14" s="13" t="s">
        <v>97</v>
      </c>
      <c r="J14" s="1"/>
      <c r="K14" s="56">
        <f>2400*0.1</f>
        <v>240</v>
      </c>
      <c r="M14" s="72"/>
      <c r="N14" s="91"/>
      <c r="O14" s="82"/>
      <c r="P14" s="56"/>
    </row>
    <row r="15" spans="2:17" x14ac:dyDescent="0.25">
      <c r="B15" s="22">
        <v>46147</v>
      </c>
      <c r="C15" s="7" t="s">
        <v>23</v>
      </c>
      <c r="D15" s="7" t="s">
        <v>74</v>
      </c>
      <c r="E15" s="7" t="s">
        <v>207</v>
      </c>
      <c r="F15" s="34">
        <v>48</v>
      </c>
      <c r="H15" s="19">
        <v>46153</v>
      </c>
      <c r="I15" s="13" t="s">
        <v>99</v>
      </c>
      <c r="J15" s="1" t="s">
        <v>145</v>
      </c>
      <c r="K15" s="56">
        <v>147</v>
      </c>
      <c r="M15" s="72"/>
      <c r="N15" s="91"/>
      <c r="O15" s="82"/>
      <c r="P15" s="56"/>
    </row>
    <row r="16" spans="2:17" x14ac:dyDescent="0.25">
      <c r="B16" s="22">
        <v>46151</v>
      </c>
      <c r="C16" s="7" t="s">
        <v>25</v>
      </c>
      <c r="D16" s="7" t="s">
        <v>26</v>
      </c>
      <c r="E16" s="7" t="s">
        <v>210</v>
      </c>
      <c r="F16" s="34">
        <v>69.900000000000006</v>
      </c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>
        <v>46151</v>
      </c>
      <c r="C17" s="7" t="s">
        <v>100</v>
      </c>
      <c r="D17" s="7"/>
      <c r="E17" s="7" t="s">
        <v>211</v>
      </c>
      <c r="F17" s="34">
        <v>350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46125</v>
      </c>
      <c r="C18" s="7" t="s">
        <v>100</v>
      </c>
      <c r="D18" s="7"/>
      <c r="E18" s="7" t="s">
        <v>227</v>
      </c>
      <c r="F18" s="34">
        <v>448.74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46157</v>
      </c>
      <c r="C19" s="7" t="s">
        <v>100</v>
      </c>
      <c r="D19" s="7"/>
      <c r="E19" s="7" t="s">
        <v>242</v>
      </c>
      <c r="F19" s="34">
        <v>281.76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>
        <v>46163</v>
      </c>
      <c r="C20" s="7" t="s">
        <v>25</v>
      </c>
      <c r="D20" s="7" t="s">
        <v>37</v>
      </c>
      <c r="E20" s="7" t="s">
        <v>244</v>
      </c>
      <c r="F20" s="34">
        <v>7</v>
      </c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46163</v>
      </c>
      <c r="C21" s="7" t="s">
        <v>30</v>
      </c>
      <c r="D21" s="7" t="s">
        <v>120</v>
      </c>
      <c r="E21" s="7"/>
      <c r="F21" s="34">
        <v>85</v>
      </c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>
        <v>46163</v>
      </c>
      <c r="C22" s="7" t="s">
        <v>100</v>
      </c>
      <c r="D22" s="7"/>
      <c r="E22" s="7" t="s">
        <v>245</v>
      </c>
      <c r="F22" s="34">
        <v>394.14</v>
      </c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>
        <v>46164</v>
      </c>
      <c r="C23" s="7" t="s">
        <v>100</v>
      </c>
      <c r="D23" s="7"/>
      <c r="E23" s="7" t="s">
        <v>246</v>
      </c>
      <c r="F23" s="34">
        <v>629</v>
      </c>
      <c r="K23" s="116"/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7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36.799999999999997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75.03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240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44.7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147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44.7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69.900000000000006</v>
      </c>
    </row>
    <row r="51" spans="2:4" ht="15.75" thickBot="1" x14ac:dyDescent="0.3">
      <c r="B51" s="68">
        <f>SUM(D50:D56)</f>
        <v>76.900000000000006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7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48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48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3393.6299999999997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5" bestFit="1" customWidth="1"/>
    <col min="5" max="5" width="27.2851562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-2574.5100000000011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46164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Jun!F7</f>
        <v>-2574.5100000000011</v>
      </c>
      <c r="E7" s="145" t="s">
        <v>108</v>
      </c>
      <c r="F7" s="39">
        <f>F3-F4-F6</f>
        <v>-2574.5100000000011</v>
      </c>
    </row>
    <row r="8" spans="2:16" ht="15.75" thickBot="1" x14ac:dyDescent="0.3"/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>
    <tabColor theme="4" tint="0.59999389629810485"/>
  </sheetPr>
  <dimension ref="B1:P90"/>
  <sheetViews>
    <sheetView showGridLines="0" zoomScale="85" zoomScaleNormal="85" workbookViewId="0">
      <selection activeCell="F13" sqref="F13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" bestFit="1" customWidth="1"/>
    <col min="5" max="5" width="22" bestFit="1" customWidth="1"/>
    <col min="6" max="6" width="14.85546875" bestFit="1" customWidth="1"/>
    <col min="7" max="7" width="2.5703125" customWidth="1"/>
    <col min="8" max="8" width="19.42578125" bestFit="1" customWidth="1"/>
    <col min="9" max="9" width="13.7109375" bestFit="1" customWidth="1"/>
    <col min="10" max="10" width="13" bestFit="1" customWidth="1"/>
    <col min="11" max="11" width="34.42578125" bestFit="1" customWidth="1"/>
    <col min="12" max="12" width="13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-2224.5100000000011</v>
      </c>
      <c r="I3" s="11" t="s">
        <v>5</v>
      </c>
      <c r="K3" s="117" t="s">
        <v>166</v>
      </c>
      <c r="L3" s="118">
        <f>Mai!L3</f>
        <v>2503</v>
      </c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350</v>
      </c>
      <c r="I4" s="15">
        <f ca="1">TODAY()</f>
        <v>46164</v>
      </c>
      <c r="K4" s="117" t="s">
        <v>216</v>
      </c>
      <c r="L4" s="118">
        <f>Mai!L4</f>
        <v>0</v>
      </c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Mai!L5</f>
        <v>156.5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Mai!F7</f>
        <v>-2224.5100000000011</v>
      </c>
      <c r="E7" s="145" t="s">
        <v>108</v>
      </c>
      <c r="F7" s="39">
        <f>F3-F4-F6</f>
        <v>-2574.5100000000011</v>
      </c>
    </row>
    <row r="8" spans="2:16" ht="15.75" thickBot="1" x14ac:dyDescent="0.3"/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2">
        <v>46182</v>
      </c>
      <c r="C11" s="7" t="s">
        <v>100</v>
      </c>
      <c r="D11" s="7"/>
      <c r="E11" s="7" t="s">
        <v>211</v>
      </c>
      <c r="F11" s="34">
        <v>350</v>
      </c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H24" t="s">
        <v>224</v>
      </c>
      <c r="I24" t="s">
        <v>222</v>
      </c>
      <c r="J24" s="159">
        <v>1000</v>
      </c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I25" t="s">
        <v>221</v>
      </c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  <c r="H26" t="s">
        <v>226</v>
      </c>
      <c r="I26" t="s">
        <v>212</v>
      </c>
      <c r="J26" s="160">
        <v>700</v>
      </c>
    </row>
    <row r="27" spans="2:16" x14ac:dyDescent="0.25">
      <c r="B27" s="22"/>
      <c r="C27" s="7"/>
      <c r="D27" s="7"/>
      <c r="E27" s="7"/>
      <c r="F27" s="34"/>
      <c r="H27" t="s">
        <v>218</v>
      </c>
      <c r="I27" t="s">
        <v>213</v>
      </c>
      <c r="J27" s="160">
        <v>112</v>
      </c>
    </row>
    <row r="28" spans="2:16" x14ac:dyDescent="0.25">
      <c r="B28" s="22"/>
      <c r="C28" s="7"/>
      <c r="D28" s="7"/>
      <c r="E28" s="7"/>
      <c r="F28" s="34"/>
      <c r="H28" t="s">
        <v>217</v>
      </c>
      <c r="I28" t="s">
        <v>214</v>
      </c>
      <c r="J28" s="160">
        <v>499</v>
      </c>
    </row>
    <row r="29" spans="2:16" x14ac:dyDescent="0.25">
      <c r="B29" s="22"/>
      <c r="C29" s="7"/>
      <c r="D29" s="7"/>
      <c r="E29" s="7"/>
      <c r="F29" s="34"/>
      <c r="H29" t="s">
        <v>219</v>
      </c>
      <c r="I29" t="s">
        <v>220</v>
      </c>
      <c r="J29" s="160">
        <v>40</v>
      </c>
      <c r="K29" s="116"/>
    </row>
    <row r="30" spans="2:16" x14ac:dyDescent="0.25">
      <c r="B30" s="22"/>
      <c r="C30" s="7"/>
      <c r="D30" s="7"/>
      <c r="E30" s="7"/>
      <c r="F30" s="34"/>
      <c r="H30" t="s">
        <v>223</v>
      </c>
      <c r="I30" t="s">
        <v>215</v>
      </c>
      <c r="J30" s="159">
        <v>350</v>
      </c>
    </row>
    <row r="31" spans="2:16" x14ac:dyDescent="0.25">
      <c r="B31" s="22"/>
      <c r="C31" s="7"/>
      <c r="D31" s="7"/>
      <c r="E31" s="7"/>
      <c r="F31" s="34"/>
      <c r="H31" t="s">
        <v>217</v>
      </c>
      <c r="I31" t="s">
        <v>225</v>
      </c>
      <c r="J31" s="159">
        <v>150</v>
      </c>
    </row>
    <row r="32" spans="2:16" ht="15.75" thickBot="1" x14ac:dyDescent="0.3">
      <c r="B32" s="23"/>
      <c r="C32" s="9"/>
      <c r="D32" s="9"/>
      <c r="E32" s="9"/>
      <c r="F32" s="35"/>
      <c r="J32" s="146">
        <f>SUM(J24:J31)</f>
        <v>2851</v>
      </c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350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>
    <tabColor theme="4" tint="0.59999389629810485"/>
  </sheetPr>
  <dimension ref="B1:P90"/>
  <sheetViews>
    <sheetView showGridLines="0" topLeftCell="A3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42578125" bestFit="1" customWidth="1"/>
    <col min="5" max="5" width="23.8554687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27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-2574.5100000000011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 t="s">
        <v>28</v>
      </c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46164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45879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Jul!F7</f>
        <v>-2574.5100000000011</v>
      </c>
      <c r="E7" s="145" t="s">
        <v>108</v>
      </c>
      <c r="F7" s="39">
        <f>F3-F4-F6</f>
        <v>-2574.5100000000011</v>
      </c>
    </row>
    <row r="8" spans="2:16" ht="15.75" thickBot="1" x14ac:dyDescent="0.3"/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7"/>
      <c r="D11" s="7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>
    <tabColor theme="4" tint="0.59999389629810485"/>
  </sheetPr>
  <dimension ref="B1:P90"/>
  <sheetViews>
    <sheetView showGridLines="0" topLeftCell="A3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5" bestFit="1" customWidth="1"/>
    <col min="5" max="5" width="33" bestFit="1" customWidth="1"/>
    <col min="6" max="6" width="14.85546875" bestFit="1" customWidth="1"/>
    <col min="7" max="7" width="2.5703125" customWidth="1"/>
    <col min="8" max="8" width="19.4257812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36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-2574.5100000000011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46164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Ago!F7</f>
        <v>-2574.5100000000011</v>
      </c>
      <c r="E7" s="145" t="s">
        <v>108</v>
      </c>
      <c r="F7" s="39">
        <f>F3-F4-F6</f>
        <v>-2574.5100000000011</v>
      </c>
    </row>
    <row r="8" spans="2:16" ht="15.75" thickBot="1" x14ac:dyDescent="0.3"/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8.85546875" bestFit="1" customWidth="1"/>
    <col min="5" max="5" width="22" bestFit="1" customWidth="1"/>
    <col min="6" max="6" width="14.85546875" bestFit="1" customWidth="1"/>
    <col min="7" max="7" width="2.5703125" customWidth="1"/>
    <col min="8" max="8" width="19.5703125" bestFit="1" customWidth="1"/>
    <col min="9" max="9" width="15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38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-2574.5100000000011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46164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Set!F7</f>
        <v>-2574.5100000000011</v>
      </c>
      <c r="E7" s="145" t="s">
        <v>108</v>
      </c>
      <c r="F7" s="39">
        <f>F3-F4-F6</f>
        <v>-2574.5100000000011</v>
      </c>
    </row>
    <row r="8" spans="2:16" ht="15.75" thickBot="1" x14ac:dyDescent="0.3"/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I11:I21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>
    <tabColor theme="4" tint="0.59999389629810485"/>
  </sheetPr>
  <dimension ref="B1:P90"/>
  <sheetViews>
    <sheetView showGridLines="0" topLeftCell="A8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" bestFit="1" customWidth="1"/>
    <col min="5" max="5" width="22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41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-2574.5100000000011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46164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Out!F7</f>
        <v>-2574.5100000000011</v>
      </c>
      <c r="E7" s="145" t="s">
        <v>108</v>
      </c>
      <c r="F7" s="39">
        <f>F3-F4-F6</f>
        <v>-2574.5100000000011</v>
      </c>
    </row>
    <row r="8" spans="2:16" ht="15.75" thickBot="1" x14ac:dyDescent="0.3"/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12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43.5703125" bestFit="1" customWidth="1"/>
    <col min="5" max="5" width="24.8554687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3" width="12" customWidth="1"/>
    <col min="14" max="14" width="10.7109375" style="114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42</v>
      </c>
      <c r="C2" s="32" t="s">
        <v>1</v>
      </c>
      <c r="D2" s="31" t="s">
        <v>2</v>
      </c>
      <c r="E2" s="32"/>
      <c r="F2" s="5" t="s">
        <v>3</v>
      </c>
      <c r="H2" s="166"/>
      <c r="I2" s="166"/>
      <c r="J2" s="166"/>
      <c r="K2" s="166"/>
      <c r="N2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-2574.5100000000011</v>
      </c>
      <c r="I3" s="11" t="s">
        <v>5</v>
      </c>
      <c r="K3" s="117" t="s">
        <v>166</v>
      </c>
      <c r="L3" s="118"/>
      <c r="N3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46164</v>
      </c>
      <c r="K4" s="117" t="s">
        <v>167</v>
      </c>
      <c r="L4" s="118"/>
      <c r="N4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  <c r="N5"/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46002</v>
      </c>
      <c r="K6" s="138" t="s">
        <v>171</v>
      </c>
      <c r="L6" s="139"/>
      <c r="N6"/>
    </row>
    <row r="7" spans="2:16" ht="15.75" thickBot="1" x14ac:dyDescent="0.3">
      <c r="B7" s="8" t="s">
        <v>15</v>
      </c>
      <c r="C7" s="9"/>
      <c r="D7" s="28">
        <f>Nov!F7</f>
        <v>-2574.5100000000011</v>
      </c>
      <c r="E7" s="145" t="s">
        <v>108</v>
      </c>
      <c r="F7" s="39">
        <f>F3-F4-F6</f>
        <v>-2574.5100000000011</v>
      </c>
      <c r="N7"/>
    </row>
    <row r="8" spans="2:16" ht="15.75" thickBot="1" x14ac:dyDescent="0.3">
      <c r="N8"/>
    </row>
    <row r="9" spans="2:16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111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112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112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112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112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112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112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112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112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112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112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112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112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112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112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113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>
    <tabColor theme="3" tint="0.39997558519241921"/>
  </sheetPr>
  <dimension ref="B1:O82"/>
  <sheetViews>
    <sheetView showGridLines="0" tabSelected="1" topLeftCell="D27" zoomScaleNormal="100" workbookViewId="0">
      <selection activeCell="H37" sqref="H37"/>
    </sheetView>
  </sheetViews>
  <sheetFormatPr defaultRowHeight="15" x14ac:dyDescent="0.25"/>
  <cols>
    <col min="1" max="1" width="3.140625" customWidth="1"/>
    <col min="2" max="2" width="21.28515625" style="40" customWidth="1"/>
    <col min="3" max="3" width="15.5703125" style="43" customWidth="1"/>
    <col min="4" max="5" width="14.140625" style="43" bestFit="1" customWidth="1"/>
    <col min="6" max="6" width="19.42578125" style="43" bestFit="1" customWidth="1"/>
    <col min="7" max="8" width="14.140625" style="43" bestFit="1" customWidth="1"/>
    <col min="9" max="9" width="16" style="43" bestFit="1" customWidth="1"/>
    <col min="10" max="10" width="17.85546875" style="43" bestFit="1" customWidth="1"/>
    <col min="11" max="11" width="14.140625" style="43" bestFit="1" customWidth="1"/>
    <col min="12" max="12" width="20.140625" style="43" bestFit="1" customWidth="1"/>
    <col min="13" max="13" width="22" style="43" bestFit="1" customWidth="1"/>
    <col min="14" max="14" width="14.140625" style="43" bestFit="1" customWidth="1"/>
    <col min="15" max="15" width="15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47" t="s">
        <v>43</v>
      </c>
      <c r="C2" s="44" t="s">
        <v>44</v>
      </c>
      <c r="D2" s="45" t="s">
        <v>14</v>
      </c>
      <c r="E2" s="45" t="s">
        <v>45</v>
      </c>
      <c r="F2" s="45" t="s">
        <v>46</v>
      </c>
      <c r="G2" s="45" t="s">
        <v>47</v>
      </c>
      <c r="H2" s="45" t="s">
        <v>48</v>
      </c>
      <c r="I2" s="45" t="s">
        <v>49</v>
      </c>
      <c r="J2" s="45" t="s">
        <v>50</v>
      </c>
      <c r="K2" s="45" t="s">
        <v>51</v>
      </c>
      <c r="L2" s="45" t="s">
        <v>52</v>
      </c>
      <c r="M2" s="45" t="s">
        <v>53</v>
      </c>
      <c r="N2" s="46" t="s">
        <v>54</v>
      </c>
      <c r="O2" s="46" t="s">
        <v>115</v>
      </c>
    </row>
    <row r="3" spans="2:15" ht="15.75" x14ac:dyDescent="0.25">
      <c r="B3" s="41" t="s">
        <v>55</v>
      </c>
      <c r="C3" s="123">
        <f>Jan!$F$3</f>
        <v>2246.5699999999997</v>
      </c>
      <c r="D3" s="124">
        <f>Fev!$F$3</f>
        <v>2281.5499999999997</v>
      </c>
      <c r="E3" s="124">
        <f>Mar!$F$3</f>
        <v>2080.7699999999995</v>
      </c>
      <c r="F3" s="124">
        <f>Abr!$F$3</f>
        <v>2679.0399999999995</v>
      </c>
      <c r="G3" s="124">
        <f>Mai!$F$3</f>
        <v>1879.2399999999993</v>
      </c>
      <c r="H3" s="124">
        <f>Jun!$F$3</f>
        <v>-2224.5100000000011</v>
      </c>
      <c r="I3" s="124">
        <f>Jul!$F$3</f>
        <v>-2574.5100000000011</v>
      </c>
      <c r="J3" s="124">
        <f>Ago!$F$3</f>
        <v>-2574.5100000000011</v>
      </c>
      <c r="K3" s="124">
        <f>Set!$F$3</f>
        <v>-2574.5100000000011</v>
      </c>
      <c r="L3" s="124">
        <f>Out!$F$3</f>
        <v>-2574.5100000000011</v>
      </c>
      <c r="M3" s="124">
        <f>Nov!$F$3</f>
        <v>-2574.5100000000011</v>
      </c>
      <c r="N3" s="125">
        <f>Dez!$F$3</f>
        <v>-2574.5100000000011</v>
      </c>
      <c r="O3" s="125">
        <f>SUM(C3:N3)</f>
        <v>-6504.4000000000106</v>
      </c>
    </row>
    <row r="4" spans="2:15" ht="15.75" x14ac:dyDescent="0.25">
      <c r="B4" s="42" t="s">
        <v>56</v>
      </c>
      <c r="C4" s="126">
        <f>Jan!$F$4</f>
        <v>568.0200000000001</v>
      </c>
      <c r="D4" s="126">
        <f>Fev!$F$4</f>
        <v>561.57999999999993</v>
      </c>
      <c r="E4" s="126">
        <f>Mar!$F$4</f>
        <v>1203.6300000000001</v>
      </c>
      <c r="F4" s="126">
        <f>Abr!$F$4</f>
        <v>723.11</v>
      </c>
      <c r="G4" s="126">
        <f>Mai!$F$4</f>
        <v>3687.9200000000005</v>
      </c>
      <c r="H4" s="126">
        <f>Jun!$F$4</f>
        <v>350</v>
      </c>
      <c r="I4" s="126">
        <f>Jul!$F$4</f>
        <v>0</v>
      </c>
      <c r="J4" s="126">
        <f>Ago!$F$4</f>
        <v>0</v>
      </c>
      <c r="K4" s="126">
        <f>Set!$F$4</f>
        <v>0</v>
      </c>
      <c r="L4" s="126">
        <f>Out!$F$4</f>
        <v>0</v>
      </c>
      <c r="M4" s="126">
        <f>Nov!$F$4</f>
        <v>0</v>
      </c>
      <c r="N4" s="127">
        <f>Dez!$F$4</f>
        <v>0</v>
      </c>
      <c r="O4" s="127">
        <f t="shared" ref="O4:O10" si="0">SUM(C4:N4)</f>
        <v>7094.26</v>
      </c>
    </row>
    <row r="5" spans="2:15" ht="15.75" x14ac:dyDescent="0.25">
      <c r="B5" s="42" t="s">
        <v>57</v>
      </c>
      <c r="C5" s="128">
        <f>Jan!$F$6</f>
        <v>337</v>
      </c>
      <c r="D5" s="128">
        <f>Fev!$F$6</f>
        <v>362.2</v>
      </c>
      <c r="E5" s="128">
        <f>Mar!$F$6</f>
        <v>434.6</v>
      </c>
      <c r="F5" s="128">
        <f>Abr!$F$6</f>
        <v>516.69000000000005</v>
      </c>
      <c r="G5" s="128">
        <f>Mai!$F$6</f>
        <v>498.83</v>
      </c>
      <c r="H5" s="128">
        <f>Jun!$F$6</f>
        <v>0</v>
      </c>
      <c r="I5" s="128">
        <f>Jul!$F$6</f>
        <v>0</v>
      </c>
      <c r="J5" s="128">
        <f>Ago!$F$6</f>
        <v>0</v>
      </c>
      <c r="K5" s="128">
        <f>Set!$F$6</f>
        <v>0</v>
      </c>
      <c r="L5" s="128">
        <f>Out!$F$6</f>
        <v>0</v>
      </c>
      <c r="M5" s="128">
        <f>Nov!$F$6</f>
        <v>0</v>
      </c>
      <c r="N5" s="129">
        <f>Dez!$F$6</f>
        <v>0</v>
      </c>
      <c r="O5" s="129">
        <f t="shared" si="0"/>
        <v>2149.3200000000002</v>
      </c>
    </row>
    <row r="6" spans="2:15" ht="15.75" x14ac:dyDescent="0.25">
      <c r="B6" s="42" t="s">
        <v>166</v>
      </c>
      <c r="C6" s="119">
        <f>Jan!$L$3</f>
        <v>0</v>
      </c>
      <c r="D6" s="119">
        <f>Fev!$L$3</f>
        <v>0</v>
      </c>
      <c r="E6" s="119">
        <f>Mar!$L$3</f>
        <v>0</v>
      </c>
      <c r="F6" s="119">
        <f>Abr!$L$3</f>
        <v>1343</v>
      </c>
      <c r="G6" s="119">
        <f>Mai!$L$3</f>
        <v>2503</v>
      </c>
      <c r="H6" s="119">
        <f>Jun!$L$3</f>
        <v>2503</v>
      </c>
      <c r="I6" s="119">
        <f>Jul!$L$3</f>
        <v>0</v>
      </c>
      <c r="J6" s="119">
        <f>Ago!$L$3</f>
        <v>0</v>
      </c>
      <c r="K6" s="119">
        <f>Set!$L$3</f>
        <v>0</v>
      </c>
      <c r="L6" s="119">
        <f>Out!$L$3</f>
        <v>0</v>
      </c>
      <c r="M6" s="119">
        <f>Nov!$L$3</f>
        <v>0</v>
      </c>
      <c r="N6" s="120">
        <f>Dez!$L$3</f>
        <v>0</v>
      </c>
      <c r="O6" s="130">
        <f>SUM(C6:N6)</f>
        <v>6349</v>
      </c>
    </row>
    <row r="7" spans="2:15" ht="15.75" x14ac:dyDescent="0.25">
      <c r="B7" s="42" t="s">
        <v>168</v>
      </c>
      <c r="C7" s="121">
        <f>Jan!$L$4</f>
        <v>0</v>
      </c>
      <c r="D7" s="121">
        <f>Fev!$L$4</f>
        <v>0</v>
      </c>
      <c r="E7" s="121">
        <f>Mar!$L$4</f>
        <v>0</v>
      </c>
      <c r="F7" s="121">
        <f>Abr!$L$4</f>
        <v>983.93</v>
      </c>
      <c r="G7" s="121">
        <f>Mai!$L$4</f>
        <v>0</v>
      </c>
      <c r="H7" s="121">
        <f>Jun!$L$4</f>
        <v>0</v>
      </c>
      <c r="I7" s="121">
        <f>Jul!$L$4</f>
        <v>0</v>
      </c>
      <c r="J7" s="121">
        <f>Ago!$L$4</f>
        <v>0</v>
      </c>
      <c r="K7" s="121">
        <f>Set!$L$4</f>
        <v>0</v>
      </c>
      <c r="L7" s="121">
        <f>Out!$L$4</f>
        <v>0</v>
      </c>
      <c r="M7" s="121">
        <f>Nov!$L$4</f>
        <v>0</v>
      </c>
      <c r="N7" s="122">
        <f>Dez!$L$4</f>
        <v>0</v>
      </c>
      <c r="O7" s="131">
        <f>SUM(C7:N7)</f>
        <v>983.93</v>
      </c>
    </row>
    <row r="8" spans="2:15" ht="15.75" x14ac:dyDescent="0.25">
      <c r="B8" s="42" t="s">
        <v>58</v>
      </c>
      <c r="C8" s="132">
        <f t="shared" ref="C8:N8" si="1">C4+C5</f>
        <v>905.0200000000001</v>
      </c>
      <c r="D8" s="132">
        <f t="shared" si="1"/>
        <v>923.78</v>
      </c>
      <c r="E8" s="132">
        <f t="shared" si="1"/>
        <v>1638.23</v>
      </c>
      <c r="F8" s="132">
        <f t="shared" si="1"/>
        <v>1239.8000000000002</v>
      </c>
      <c r="G8" s="132">
        <f t="shared" si="1"/>
        <v>4186.7500000000009</v>
      </c>
      <c r="H8" s="132">
        <f t="shared" si="1"/>
        <v>350</v>
      </c>
      <c r="I8" s="132">
        <f t="shared" si="1"/>
        <v>0</v>
      </c>
      <c r="J8" s="132">
        <f t="shared" si="1"/>
        <v>0</v>
      </c>
      <c r="K8" s="132">
        <f t="shared" si="1"/>
        <v>0</v>
      </c>
      <c r="L8" s="132">
        <f t="shared" si="1"/>
        <v>0</v>
      </c>
      <c r="M8" s="132">
        <f t="shared" si="1"/>
        <v>0</v>
      </c>
      <c r="N8" s="133">
        <f t="shared" si="1"/>
        <v>0</v>
      </c>
      <c r="O8" s="133">
        <f t="shared" si="0"/>
        <v>9243.5800000000017</v>
      </c>
    </row>
    <row r="9" spans="2:15" ht="15.75" x14ac:dyDescent="0.25">
      <c r="B9" s="42" t="s">
        <v>15</v>
      </c>
      <c r="C9" s="134">
        <f t="shared" ref="C9:N9" si="2">C3-C8</f>
        <v>1341.5499999999997</v>
      </c>
      <c r="D9" s="134">
        <f t="shared" si="2"/>
        <v>1357.7699999999998</v>
      </c>
      <c r="E9" s="134">
        <f t="shared" si="2"/>
        <v>442.53999999999951</v>
      </c>
      <c r="F9" s="134">
        <f t="shared" si="2"/>
        <v>1439.2399999999993</v>
      </c>
      <c r="G9" s="134">
        <f t="shared" si="2"/>
        <v>-2307.5100000000016</v>
      </c>
      <c r="H9" s="134">
        <f t="shared" si="2"/>
        <v>-2574.5100000000011</v>
      </c>
      <c r="I9" s="134">
        <f t="shared" si="2"/>
        <v>-2574.5100000000011</v>
      </c>
      <c r="J9" s="134">
        <f t="shared" si="2"/>
        <v>-2574.5100000000011</v>
      </c>
      <c r="K9" s="134">
        <f t="shared" si="2"/>
        <v>-2574.5100000000011</v>
      </c>
      <c r="L9" s="134">
        <f t="shared" si="2"/>
        <v>-2574.5100000000011</v>
      </c>
      <c r="M9" s="134">
        <f t="shared" si="2"/>
        <v>-2574.5100000000011</v>
      </c>
      <c r="N9" s="135">
        <f t="shared" si="2"/>
        <v>-2574.5100000000011</v>
      </c>
      <c r="O9" s="135">
        <f>N9</f>
        <v>-2574.5100000000011</v>
      </c>
    </row>
    <row r="10" spans="2:15" ht="16.5" thickBot="1" x14ac:dyDescent="0.3">
      <c r="B10" s="94" t="s">
        <v>109</v>
      </c>
      <c r="C10" s="136">
        <f>Jan!D4</f>
        <v>103.33</v>
      </c>
      <c r="D10" s="136">
        <f>Fev!D4</f>
        <v>200</v>
      </c>
      <c r="E10" s="136">
        <f>Mar!D4</f>
        <v>0</v>
      </c>
      <c r="F10" s="136">
        <f>Abr!D4</f>
        <v>136.5</v>
      </c>
      <c r="G10" s="136">
        <f>Mai!D4</f>
        <v>20</v>
      </c>
      <c r="H10" s="136">
        <f>Jun!D4</f>
        <v>0</v>
      </c>
      <c r="I10" s="136">
        <f>Jul!D4</f>
        <v>0</v>
      </c>
      <c r="J10" s="136">
        <f>Ago!D4</f>
        <v>0</v>
      </c>
      <c r="K10" s="136">
        <f>Set!D4</f>
        <v>0</v>
      </c>
      <c r="L10" s="136">
        <f>Out!D4</f>
        <v>0</v>
      </c>
      <c r="M10" s="136">
        <f>Nov!D4</f>
        <v>0</v>
      </c>
      <c r="N10" s="137">
        <f>Dez!D4</f>
        <v>0</v>
      </c>
      <c r="O10" s="137">
        <f t="shared" si="0"/>
        <v>459.83</v>
      </c>
    </row>
    <row r="12" spans="2:15" ht="6" customHeight="1" x14ac:dyDescent="0.25"/>
    <row r="13" spans="2:15" ht="12" customHeight="1" x14ac:dyDescent="0.25">
      <c r="L13" s="43">
        <f>12*25.82</f>
        <v>309.84000000000003</v>
      </c>
    </row>
    <row r="14" spans="2:15" ht="6" customHeight="1" thickBot="1" x14ac:dyDescent="0.3"/>
    <row r="15" spans="2:15" ht="15.75" thickBot="1" x14ac:dyDescent="0.3">
      <c r="B15" s="47" t="s">
        <v>43</v>
      </c>
      <c r="C15" s="44" t="s">
        <v>44</v>
      </c>
      <c r="D15" s="45" t="s">
        <v>14</v>
      </c>
      <c r="E15" s="45" t="s">
        <v>45</v>
      </c>
      <c r="F15" s="45" t="s">
        <v>46</v>
      </c>
      <c r="G15" s="45" t="s">
        <v>47</v>
      </c>
      <c r="H15" s="45" t="s">
        <v>48</v>
      </c>
      <c r="I15" s="45" t="s">
        <v>49</v>
      </c>
      <c r="J15" s="45" t="s">
        <v>50</v>
      </c>
      <c r="K15" s="45" t="s">
        <v>51</v>
      </c>
      <c r="L15" s="45" t="s">
        <v>52</v>
      </c>
      <c r="M15" s="45" t="s">
        <v>53</v>
      </c>
      <c r="N15" s="46" t="s">
        <v>54</v>
      </c>
      <c r="O15" s="46" t="s">
        <v>114</v>
      </c>
    </row>
    <row r="16" spans="2:15" x14ac:dyDescent="0.25">
      <c r="B16" s="96" t="s">
        <v>30</v>
      </c>
      <c r="C16" s="97">
        <f>Jan!$B$36</f>
        <v>0</v>
      </c>
      <c r="D16" s="98">
        <f>Fev!$B$36</f>
        <v>0</v>
      </c>
      <c r="E16" s="97">
        <f>Mar!$B$36</f>
        <v>12</v>
      </c>
      <c r="F16" s="98">
        <f>Abr!$B$36</f>
        <v>79.460000000000008</v>
      </c>
      <c r="G16" s="97">
        <f>Mai!$B$36</f>
        <v>0</v>
      </c>
      <c r="H16" s="98">
        <f>Jun!$B$36</f>
        <v>0</v>
      </c>
      <c r="I16" s="97">
        <f>Jul!$B$36</f>
        <v>0</v>
      </c>
      <c r="J16" s="98">
        <f>Ago!$B$36</f>
        <v>0</v>
      </c>
      <c r="K16" s="97">
        <f>Set!$B$36</f>
        <v>0</v>
      </c>
      <c r="L16" s="98">
        <f>Out!$B$36</f>
        <v>0</v>
      </c>
      <c r="M16" s="97">
        <f>Nov!$B$36</f>
        <v>0</v>
      </c>
      <c r="N16" s="99">
        <f>Dez!$B$36</f>
        <v>0</v>
      </c>
      <c r="O16" s="108">
        <f>SUM(C16:N16)</f>
        <v>91.460000000000008</v>
      </c>
    </row>
    <row r="17" spans="2:15" x14ac:dyDescent="0.25">
      <c r="B17" s="100" t="s">
        <v>21</v>
      </c>
      <c r="C17" s="101">
        <f>Jan!$B$42</f>
        <v>23.69</v>
      </c>
      <c r="D17" s="102">
        <f>Fev!$B$42</f>
        <v>39</v>
      </c>
      <c r="E17" s="101">
        <f>Mar!$B$42</f>
        <v>47.879999999999995</v>
      </c>
      <c r="F17" s="102">
        <f>Abr!$B$42</f>
        <v>190.31</v>
      </c>
      <c r="G17" s="101">
        <f>Mai!$B$42</f>
        <v>44.7</v>
      </c>
      <c r="H17" s="102">
        <f>Jun!$B$42</f>
        <v>0</v>
      </c>
      <c r="I17" s="101">
        <f>Jul!$B$42</f>
        <v>0</v>
      </c>
      <c r="J17" s="102">
        <f>Ago!$B$42</f>
        <v>0</v>
      </c>
      <c r="K17" s="101">
        <f>Set!$B$42</f>
        <v>0</v>
      </c>
      <c r="L17" s="102">
        <f>Out!$B$42</f>
        <v>0</v>
      </c>
      <c r="M17" s="101">
        <f>Nov!$B$42</f>
        <v>0</v>
      </c>
      <c r="N17" s="103">
        <f>Dez!$B$42</f>
        <v>0</v>
      </c>
      <c r="O17" s="109">
        <f t="shared" ref="O17:O23" si="3">SUM(C17:N17)</f>
        <v>345.58</v>
      </c>
    </row>
    <row r="18" spans="2:15" x14ac:dyDescent="0.25">
      <c r="B18" s="100" t="s">
        <v>25</v>
      </c>
      <c r="C18" s="101">
        <f>Jan!$B$51</f>
        <v>93.95</v>
      </c>
      <c r="D18" s="102">
        <f>Fev!B51</f>
        <v>226.24</v>
      </c>
      <c r="E18" s="101">
        <f>Mar!$B$51</f>
        <v>19.3</v>
      </c>
      <c r="F18" s="102">
        <f>Abr!$B$51</f>
        <v>153.19999999999999</v>
      </c>
      <c r="G18" s="101">
        <f>Mai!$B$51</f>
        <v>76.900000000000006</v>
      </c>
      <c r="H18" s="102">
        <f>Jun!$B$51</f>
        <v>0</v>
      </c>
      <c r="I18" s="101">
        <f>Jul!$B$51</f>
        <v>0</v>
      </c>
      <c r="J18" s="102">
        <f>Ago!$B$51</f>
        <v>0</v>
      </c>
      <c r="K18" s="101">
        <f>Set!$B$51</f>
        <v>0</v>
      </c>
      <c r="L18" s="102">
        <f>Out!$B$51</f>
        <v>0</v>
      </c>
      <c r="M18" s="101">
        <f>Nov!$B$51</f>
        <v>0</v>
      </c>
      <c r="N18" s="103">
        <f>Dez!$B$51</f>
        <v>0</v>
      </c>
      <c r="O18" s="109">
        <f t="shared" si="3"/>
        <v>569.59</v>
      </c>
    </row>
    <row r="19" spans="2:15" x14ac:dyDescent="0.25">
      <c r="B19" s="100" t="s">
        <v>23</v>
      </c>
      <c r="C19" s="101">
        <f>Jan!$B$59</f>
        <v>72</v>
      </c>
      <c r="D19" s="102">
        <f>Fev!$B$59</f>
        <v>296.33999999999997</v>
      </c>
      <c r="E19" s="101">
        <f>Mar!$B$59</f>
        <v>210</v>
      </c>
      <c r="F19" s="102">
        <f>Abr!$B$59</f>
        <v>48.5</v>
      </c>
      <c r="G19" s="101">
        <f>Mai!$B$59</f>
        <v>48</v>
      </c>
      <c r="H19" s="102">
        <f>Jun!$B$59</f>
        <v>0</v>
      </c>
      <c r="I19" s="101">
        <f>Jul!$B$59</f>
        <v>0</v>
      </c>
      <c r="J19" s="102">
        <f>Ago!$B$59</f>
        <v>0</v>
      </c>
      <c r="K19" s="101">
        <f>Set!$B$59</f>
        <v>0</v>
      </c>
      <c r="L19" s="102">
        <f>Out!$B$59</f>
        <v>0</v>
      </c>
      <c r="M19" s="101">
        <f>Nov!$B$59</f>
        <v>0</v>
      </c>
      <c r="N19" s="103">
        <f>Dez!$B$59</f>
        <v>0</v>
      </c>
      <c r="O19" s="109">
        <f t="shared" si="3"/>
        <v>674.83999999999992</v>
      </c>
    </row>
    <row r="20" spans="2:15" x14ac:dyDescent="0.25">
      <c r="B20" s="100" t="s">
        <v>64</v>
      </c>
      <c r="C20" s="101">
        <f>Jan!$B$67</f>
        <v>0</v>
      </c>
      <c r="D20" s="102">
        <f>Fev!$B$67</f>
        <v>0</v>
      </c>
      <c r="E20" s="101">
        <f>Mar!$B$67</f>
        <v>34.450000000000003</v>
      </c>
      <c r="F20" s="102">
        <f>Abr!$B$67</f>
        <v>0</v>
      </c>
      <c r="G20" s="101">
        <f>Mai!$B$67</f>
        <v>0</v>
      </c>
      <c r="H20" s="102">
        <f>Jun!$B$67</f>
        <v>0</v>
      </c>
      <c r="I20" s="101">
        <f>Jul!$B$67</f>
        <v>0</v>
      </c>
      <c r="J20" s="102">
        <f>Ago!$B$67</f>
        <v>0</v>
      </c>
      <c r="K20" s="101">
        <f>Set!$B$67</f>
        <v>0</v>
      </c>
      <c r="L20" s="102">
        <f>Out!$B$67</f>
        <v>0</v>
      </c>
      <c r="M20" s="101">
        <f>Nov!$B$67</f>
        <v>0</v>
      </c>
      <c r="N20" s="103">
        <f>Dez!$B$67</f>
        <v>0</v>
      </c>
      <c r="O20" s="109">
        <f t="shared" si="3"/>
        <v>34.450000000000003</v>
      </c>
    </row>
    <row r="21" spans="2:15" x14ac:dyDescent="0.25">
      <c r="B21" s="100" t="s">
        <v>65</v>
      </c>
      <c r="C21" s="101">
        <f>Jan!$B$75</f>
        <v>0</v>
      </c>
      <c r="D21" s="102">
        <f>Fev!$B$75</f>
        <v>0</v>
      </c>
      <c r="E21" s="101">
        <f>Mar!$B$75</f>
        <v>0</v>
      </c>
      <c r="F21" s="102">
        <f>Abr!$B$75</f>
        <v>0</v>
      </c>
      <c r="G21" s="101">
        <f>Mai!$B$75</f>
        <v>0</v>
      </c>
      <c r="H21" s="102">
        <f>Jun!$B$75</f>
        <v>0</v>
      </c>
      <c r="I21" s="101">
        <f>Jul!$B$75</f>
        <v>0</v>
      </c>
      <c r="J21" s="102">
        <f>Ago!$B$75</f>
        <v>0</v>
      </c>
      <c r="K21" s="101">
        <f>Set!$B$75</f>
        <v>0</v>
      </c>
      <c r="L21" s="102">
        <f>Out!$B$75</f>
        <v>0</v>
      </c>
      <c r="M21" s="101">
        <f>Nov!$B$75</f>
        <v>0</v>
      </c>
      <c r="N21" s="103">
        <f>Dez!$B$75</f>
        <v>0</v>
      </c>
      <c r="O21" s="109">
        <f t="shared" si="3"/>
        <v>0</v>
      </c>
    </row>
    <row r="22" spans="2:15" x14ac:dyDescent="0.25">
      <c r="B22" s="149" t="s">
        <v>100</v>
      </c>
      <c r="C22" s="101">
        <f>Jan!$D$90</f>
        <v>0</v>
      </c>
      <c r="D22" s="101">
        <f>Fev!$D$90</f>
        <v>0</v>
      </c>
      <c r="E22" s="101">
        <f>Mar!$D$90</f>
        <v>0</v>
      </c>
      <c r="F22" s="101">
        <f>Abr!$D$90</f>
        <v>201.64</v>
      </c>
      <c r="G22" s="101">
        <f>Mai!$D$90</f>
        <v>3393.6299999999997</v>
      </c>
      <c r="H22" s="101">
        <f>Jun!$D$90</f>
        <v>350</v>
      </c>
      <c r="I22" s="101">
        <f>Jul!$D$90</f>
        <v>0</v>
      </c>
      <c r="J22" s="101">
        <f>Ago!$D$90</f>
        <v>0</v>
      </c>
      <c r="K22" s="101">
        <f>Set!$D$90</f>
        <v>0</v>
      </c>
      <c r="L22" s="101">
        <f>Out!$D$90</f>
        <v>0</v>
      </c>
      <c r="M22" s="101">
        <f>Nov!$D$90</f>
        <v>0</v>
      </c>
      <c r="N22" s="101">
        <f>Dez!$D$90</f>
        <v>0</v>
      </c>
      <c r="O22" s="150"/>
    </row>
    <row r="23" spans="2:15" ht="15.75" thickBot="1" x14ac:dyDescent="0.3">
      <c r="B23" s="104" t="s">
        <v>34</v>
      </c>
      <c r="C23" s="105">
        <f>Jan!$B$83</f>
        <v>0</v>
      </c>
      <c r="D23" s="106">
        <f>Fev!$B$83</f>
        <v>0</v>
      </c>
      <c r="E23" s="105">
        <f>Mar!$B$83</f>
        <v>880</v>
      </c>
      <c r="F23" s="106">
        <f>Abr!$B$83</f>
        <v>50</v>
      </c>
      <c r="G23" s="105">
        <f>Mai!$B$83</f>
        <v>0</v>
      </c>
      <c r="H23" s="106">
        <f>Jun!$B$83</f>
        <v>0</v>
      </c>
      <c r="I23" s="105">
        <f>Jul!$B$83</f>
        <v>0</v>
      </c>
      <c r="J23" s="106">
        <f>Ago!$B$83</f>
        <v>0</v>
      </c>
      <c r="K23" s="105">
        <f>Set!$B$83</f>
        <v>0</v>
      </c>
      <c r="L23" s="106">
        <f>Out!$B$83</f>
        <v>0</v>
      </c>
      <c r="M23" s="105">
        <f>Nov!$B$83</f>
        <v>0</v>
      </c>
      <c r="N23" s="107">
        <f>Dez!$B$83</f>
        <v>0</v>
      </c>
      <c r="O23" s="110">
        <f t="shared" si="3"/>
        <v>930</v>
      </c>
    </row>
    <row r="26" spans="2:15" ht="15.75" thickBot="1" x14ac:dyDescent="0.3"/>
    <row r="27" spans="2:15" ht="15.75" thickBot="1" x14ac:dyDescent="0.3">
      <c r="B27" s="67" t="s">
        <v>30</v>
      </c>
      <c r="C27" s="61" t="s">
        <v>101</v>
      </c>
      <c r="D27" s="62">
        <f>SUBTOTAL(9,Fev!D35,Fev!D35,Mar!D35,Abr!D35,Mai!D35,Jun!D35,Jul!D35,Ago!D35,Set!D35,Out!D35,Nov!D35,Dez!D35)</f>
        <v>23.36</v>
      </c>
      <c r="F27"/>
      <c r="G27"/>
    </row>
    <row r="28" spans="2:15" ht="16.5" thickBot="1" x14ac:dyDescent="0.3">
      <c r="B28" s="68">
        <f>SUM(D27:D31)</f>
        <v>91.46</v>
      </c>
      <c r="C28" s="63" t="s">
        <v>61</v>
      </c>
      <c r="D28" s="64">
        <f>SUBTOTAL(9,Fev!D36,Fev!D36,Mar!D36,Abr!D36,Mai!D36,Jun!D36,Jul!D36,Ago!D36,Set!D36,Out!D36,Nov!D36,Dez!D36)</f>
        <v>68.099999999999994</v>
      </c>
      <c r="F28" s="73" t="s">
        <v>92</v>
      </c>
      <c r="G28" s="62">
        <f>SUBTOTAL(9,Jan!I35,Fev!I35,Mar!I35,Abr!I35,Mai!I35,Jun!I35,Jul!I35,Ago!I35,Set!I35,Out!I35,Nov!I35,Dez!I35)</f>
        <v>30</v>
      </c>
      <c r="I28" s="167" t="s">
        <v>194</v>
      </c>
      <c r="J28" s="168"/>
      <c r="K28" s="168"/>
      <c r="L28" s="169"/>
      <c r="M28" s="151">
        <f>SUM(L30:L43)-SUM(K30:K43)</f>
        <v>3215.99</v>
      </c>
    </row>
    <row r="29" spans="2:15" ht="15.75" x14ac:dyDescent="0.25">
      <c r="B29"/>
      <c r="C29" s="63" t="s">
        <v>62</v>
      </c>
      <c r="D29" s="64">
        <f>SUBTOTAL(9,Fev!D37,Fev!D37,Mar!D37,Abr!D37,Mai!D37,Jun!D37,Jul!D37,Ago!D37,Set!D37,Out!D37,Nov!D37,Dez!D37)</f>
        <v>0</v>
      </c>
      <c r="F29" s="74" t="s">
        <v>93</v>
      </c>
      <c r="G29" s="64">
        <f>SUBTOTAL(9,Jan!I36,Fev!I36,Mar!I36,Abr!I36,Mai!I36,Jun!I36,Jul!I36,Ago!I36,Set!I36,Out!I36,Nov!I36,Dez!I36)</f>
        <v>330.1</v>
      </c>
      <c r="I29" s="155" t="s">
        <v>195</v>
      </c>
      <c r="J29" s="156" t="s">
        <v>201</v>
      </c>
      <c r="K29" s="156" t="s">
        <v>196</v>
      </c>
      <c r="L29" s="156" t="s">
        <v>197</v>
      </c>
      <c r="M29" s="157" t="s">
        <v>198</v>
      </c>
    </row>
    <row r="30" spans="2:15" x14ac:dyDescent="0.25">
      <c r="B30"/>
      <c r="C30" s="63" t="s">
        <v>31</v>
      </c>
      <c r="D30" s="64">
        <f>SUBTOTAL(9,Fev!D38,Fev!D38,Mar!D38,Abr!D38,Mai!D38,Jun!D38,Jul!D38,Ago!D38,Set!D38,Out!D38,Nov!D38,Dez!D38)</f>
        <v>0</v>
      </c>
      <c r="F30" s="74" t="s">
        <v>94</v>
      </c>
      <c r="G30" s="64">
        <f>SUBTOTAL(9,Jan!I37,Fev!I37,Mar!I37,Abr!I37,Mai!I37,Jun!I37,Jul!I37,Ago!I37,Set!I37,Out!I37,Nov!I37,Dez!I37)</f>
        <v>0</v>
      </c>
      <c r="I30" s="175" t="s">
        <v>200</v>
      </c>
      <c r="J30" s="176" t="s">
        <v>202</v>
      </c>
      <c r="K30" s="176">
        <v>201.64</v>
      </c>
      <c r="L30" s="176">
        <f>200.05+10+10+64</f>
        <v>284.05</v>
      </c>
      <c r="M30" s="154">
        <f>L30-K30</f>
        <v>82.410000000000025</v>
      </c>
    </row>
    <row r="31" spans="2:15" x14ac:dyDescent="0.25">
      <c r="B31"/>
      <c r="C31" s="63"/>
      <c r="D31" s="64">
        <f>SUBTOTAL(9,Fev!D39,Fev!D39,Mar!D39,Abr!D39,Mai!D39,Jun!D39,Jul!D39,Ago!D39,Set!D39,Out!D39,Nov!D39,Dez!D39)</f>
        <v>0</v>
      </c>
      <c r="F31" s="74" t="s">
        <v>95</v>
      </c>
      <c r="G31" s="64">
        <f>SUBTOTAL(9,Jan!I38,Fev!I38,Mar!I38,Abr!I38,Mai!I38,Jun!I38,Jul!I38,Ago!I38,Set!I38,Out!I38,Nov!I38,Dez!I38)</f>
        <v>0</v>
      </c>
      <c r="I31" s="177" t="s">
        <v>199</v>
      </c>
      <c r="J31" s="176" t="s">
        <v>203</v>
      </c>
      <c r="K31" s="176">
        <v>1289.99</v>
      </c>
      <c r="L31" s="176">
        <v>1517.64</v>
      </c>
      <c r="M31" s="154">
        <f t="shared" ref="M31:M39" si="4">L31-K31</f>
        <v>227.65000000000009</v>
      </c>
    </row>
    <row r="32" spans="2:15" ht="15.75" thickBot="1" x14ac:dyDescent="0.3">
      <c r="B32"/>
      <c r="C32" s="49"/>
      <c r="D32" s="49"/>
      <c r="F32" s="74" t="s">
        <v>96</v>
      </c>
      <c r="G32" s="64">
        <f>SUBTOTAL(9,Jan!I39,Fev!I39,Mar!I39,Abr!I39,Mai!I39,Jun!I39,Jul!I39,Ago!I39,Set!I39,Out!I39,Nov!I39,Dez!I39)</f>
        <v>302.22000000000003</v>
      </c>
      <c r="I32" s="177" t="s">
        <v>204</v>
      </c>
      <c r="J32" s="176" t="s">
        <v>205</v>
      </c>
      <c r="K32" s="176">
        <v>700</v>
      </c>
      <c r="L32" s="176">
        <v>1000</v>
      </c>
      <c r="M32" s="154">
        <f t="shared" si="4"/>
        <v>300</v>
      </c>
    </row>
    <row r="33" spans="2:13" x14ac:dyDescent="0.25">
      <c r="B33" s="67" t="s">
        <v>21</v>
      </c>
      <c r="C33" s="61" t="s">
        <v>66</v>
      </c>
      <c r="D33" s="62">
        <f>SUBTOTAL(9,Fev!D41,Fev!D41,Mar!D41,Abr!D41,Mai!D41,Jun!D41,Jul!D41,Ago!D41,Set!D41,Out!D41,Nov!D41,Dez!D41)</f>
        <v>47.879999999999995</v>
      </c>
      <c r="F33" s="74" t="s">
        <v>97</v>
      </c>
      <c r="G33" s="64">
        <f>SUBTOTAL(9,Jan!I40,Fev!I40,Mar!I40,Abr!I40,Mai!I40,Jun!I40,Jul!I40,Ago!I40,Set!I40,Out!I40,Nov!I40,Dez!I40)</f>
        <v>500</v>
      </c>
      <c r="H33" s="43" t="s">
        <v>248</v>
      </c>
      <c r="I33" s="177" t="s">
        <v>228</v>
      </c>
      <c r="J33" s="176" t="s">
        <v>229</v>
      </c>
      <c r="K33" s="176">
        <v>128</v>
      </c>
      <c r="L33" s="176">
        <v>176</v>
      </c>
      <c r="M33" s="154">
        <f t="shared" si="4"/>
        <v>48</v>
      </c>
    </row>
    <row r="34" spans="2:13" ht="15.75" thickBot="1" x14ac:dyDescent="0.3">
      <c r="B34" s="68">
        <f>SUM(D33:D40)</f>
        <v>360.89</v>
      </c>
      <c r="C34" s="63" t="s">
        <v>22</v>
      </c>
      <c r="D34" s="64">
        <f>SUBTOTAL(9,Fev!D42,Fev!D42,Mar!D42,Abr!D42,Mai!D42,Jun!D42,Jul!D42,Ago!D42,Set!D42,Out!D42,Nov!D42,Dez!D42)</f>
        <v>155</v>
      </c>
      <c r="F34" s="74" t="s">
        <v>98</v>
      </c>
      <c r="G34" s="64">
        <f>SUBTOTAL(9,Jan!I41,Fev!I41,Mar!I41,Abr!I41,Mai!I41,Jun!I41,Jul!I41,Ago!I41,Set!I41,Out!I41,Nov!I41,Dez!I41)</f>
        <v>40</v>
      </c>
      <c r="H34" s="43">
        <f>SUM(K30:K37)</f>
        <v>7682.51</v>
      </c>
      <c r="I34" s="177" t="s">
        <v>230</v>
      </c>
      <c r="J34" s="176" t="s">
        <v>229</v>
      </c>
      <c r="K34" s="176">
        <v>320.74</v>
      </c>
      <c r="L34" s="176">
        <v>385</v>
      </c>
      <c r="M34" s="154">
        <f t="shared" si="4"/>
        <v>64.259999999999991</v>
      </c>
    </row>
    <row r="35" spans="2:13" x14ac:dyDescent="0.25">
      <c r="B35"/>
      <c r="C35" s="63" t="s">
        <v>32</v>
      </c>
      <c r="D35" s="64">
        <f>SUBTOTAL(9,Fev!D43,Fev!D43,Mar!D43,Abr!D43,Mai!D43,Jun!D43,Jul!D43,Ago!D43,Set!D43,Out!D43,Nov!D43,Dez!D43)</f>
        <v>0</v>
      </c>
      <c r="F35" s="74" t="s">
        <v>99</v>
      </c>
      <c r="G35" s="64">
        <f>SUBTOTAL(9,Jan!I42,Fev!I42,Mar!I42,Abr!I42,Mai!I42,Jun!I42,Jul!I42,Ago!I42,Set!I42,Out!I42,Nov!I42,Dez!I42)</f>
        <v>877</v>
      </c>
      <c r="I35" s="153" t="s">
        <v>231</v>
      </c>
      <c r="J35" s="101" t="s">
        <v>241</v>
      </c>
      <c r="K35" s="174">
        <v>1715.14</v>
      </c>
      <c r="L35" s="152">
        <v>2017.8</v>
      </c>
      <c r="M35" s="154">
        <f t="shared" si="4"/>
        <v>302.65999999999985</v>
      </c>
    </row>
    <row r="36" spans="2:13" x14ac:dyDescent="0.25">
      <c r="B36"/>
      <c r="C36" s="63" t="s">
        <v>68</v>
      </c>
      <c r="D36" s="64">
        <f>SUBTOTAL(9,Fev!D44,Fev!D44,Mar!D44,Abr!D44,Mai!D44,Jun!D44,Jul!D44,Ago!D44,Set!D44,Out!D44,Nov!D44,Dez!D44)</f>
        <v>0</v>
      </c>
      <c r="F36" s="74" t="s">
        <v>65</v>
      </c>
      <c r="G36" s="64">
        <f>SUBTOTAL(9,Jan!I43,Fev!I43,Mar!I43,Abr!I43,Mai!I43,Jun!I43,Jul!I43,Ago!I43,Set!I43,Out!I43,Nov!I43,Dez!I43)</f>
        <v>0</v>
      </c>
      <c r="I36" s="153" t="s">
        <v>232</v>
      </c>
      <c r="J36" s="101" t="s">
        <v>240</v>
      </c>
      <c r="K36" s="174">
        <v>949</v>
      </c>
      <c r="L36" s="152">
        <v>1045</v>
      </c>
      <c r="M36" s="154">
        <f t="shared" si="4"/>
        <v>96</v>
      </c>
    </row>
    <row r="37" spans="2:13" x14ac:dyDescent="0.25">
      <c r="B37"/>
      <c r="C37" s="63" t="s">
        <v>67</v>
      </c>
      <c r="D37" s="64">
        <f>SUBTOTAL(9,Fev!D45,Fev!D45,Mar!D45,Abr!D45,Mai!D45,Jun!D45,Jul!D45,Ago!D45,Set!D45,Out!D45,Nov!D45,Dez!D45)</f>
        <v>0</v>
      </c>
      <c r="F37" s="74" t="s">
        <v>100</v>
      </c>
      <c r="G37" s="64">
        <f>SUBTOTAL(9,C22:N22)</f>
        <v>3945.2699999999995</v>
      </c>
      <c r="I37" s="153" t="s">
        <v>233</v>
      </c>
      <c r="J37" s="101" t="s">
        <v>240</v>
      </c>
      <c r="K37" s="174">
        <v>2378</v>
      </c>
      <c r="L37" s="152">
        <v>3669</v>
      </c>
      <c r="M37" s="154">
        <f t="shared" si="4"/>
        <v>1291</v>
      </c>
    </row>
    <row r="38" spans="2:13" ht="15.75" thickBot="1" x14ac:dyDescent="0.3">
      <c r="B38"/>
      <c r="C38" s="63" t="s">
        <v>33</v>
      </c>
      <c r="D38" s="64">
        <f>SUBTOTAL(9,Fev!D46,Fev!D46,Mar!D46,Abr!D46,Mai!D46,Jun!D46,Jul!D46,Ago!D46,Set!D46,Out!D46,Nov!D46,Dez!D46)</f>
        <v>158.01</v>
      </c>
      <c r="F38" s="75"/>
      <c r="G38" s="66">
        <f>SUBTOTAL(9,Jan!I45,Fev!I45,Mar!I45,Abr!I45,Mai!I45,Jun!I45,Jul!I45,Ago!I45,Set!I45,Out!I45,Nov!I45,Dez!I45)</f>
        <v>0</v>
      </c>
      <c r="I38" s="153" t="s">
        <v>243</v>
      </c>
      <c r="J38" s="101" t="s">
        <v>240</v>
      </c>
      <c r="K38" s="174">
        <v>78.900000000000006</v>
      </c>
      <c r="L38" s="152">
        <v>93.24</v>
      </c>
      <c r="M38" s="154">
        <f t="shared" si="4"/>
        <v>14.339999999999989</v>
      </c>
    </row>
    <row r="39" spans="2:13" x14ac:dyDescent="0.25">
      <c r="B39"/>
      <c r="C39" s="69"/>
      <c r="D39" s="70">
        <f>SUBTOTAL(9,Fev!D47,Fev!D47,Mar!D47,Abr!D47,Mai!D47,Jun!D47,Jul!D47,Ago!D47,Set!D47,Out!D47,Nov!D47,Dez!D47)</f>
        <v>0</v>
      </c>
      <c r="I39" s="177" t="s">
        <v>234</v>
      </c>
      <c r="J39" s="176" t="s">
        <v>203</v>
      </c>
      <c r="K39" s="176">
        <v>630</v>
      </c>
      <c r="L39" s="176">
        <v>741</v>
      </c>
      <c r="M39" s="154">
        <f t="shared" si="4"/>
        <v>111</v>
      </c>
    </row>
    <row r="40" spans="2:13" ht="15.75" thickBot="1" x14ac:dyDescent="0.3">
      <c r="B40" s="76"/>
      <c r="C40" s="65"/>
      <c r="D40" s="66">
        <f>SUBTOTAL(9,Fev!D48,Fev!D48,Mar!D48,Abr!D48,Mai!D48,Jun!D48,Jul!D48,Ago!D48,Set!D48,Out!D48,Nov!D48,Dez!D48)</f>
        <v>0</v>
      </c>
      <c r="I40" s="178" t="s">
        <v>239</v>
      </c>
      <c r="J40" s="176" t="s">
        <v>238</v>
      </c>
      <c r="K40" s="176">
        <v>394</v>
      </c>
      <c r="L40" s="176">
        <v>765</v>
      </c>
      <c r="M40" s="154">
        <f t="shared" ref="M40" si="5">L40-K40</f>
        <v>371</v>
      </c>
    </row>
    <row r="41" spans="2:13" ht="15.75" thickBot="1" x14ac:dyDescent="0.3">
      <c r="B41"/>
      <c r="C41"/>
      <c r="D41"/>
      <c r="I41" s="153" t="s">
        <v>237</v>
      </c>
      <c r="J41" s="101" t="s">
        <v>240</v>
      </c>
      <c r="K41" s="174">
        <v>59.9</v>
      </c>
      <c r="L41" s="152">
        <v>103.9</v>
      </c>
      <c r="M41" s="154">
        <f t="shared" ref="M41:M42" si="6">L41-K41</f>
        <v>44.000000000000007</v>
      </c>
    </row>
    <row r="42" spans="2:13" x14ac:dyDescent="0.25">
      <c r="B42" s="67" t="s">
        <v>25</v>
      </c>
      <c r="C42" s="61" t="s">
        <v>26</v>
      </c>
      <c r="D42" s="62">
        <f>SUBTOTAL(9,Fev!D50,Fev!D50,Mar!D50,Abr!D50,Mai!D50,Jun!D50,Jul!D50,Ago!D50,Set!D50,Out!D50,Nov!D50,Dez!D50)</f>
        <v>107.4</v>
      </c>
      <c r="H42" s="43" t="s">
        <v>247</v>
      </c>
      <c r="I42" s="177" t="s">
        <v>235</v>
      </c>
      <c r="J42" s="176" t="s">
        <v>238</v>
      </c>
      <c r="K42" s="176">
        <v>175</v>
      </c>
      <c r="L42" s="176">
        <v>373.58</v>
      </c>
      <c r="M42" s="154">
        <f t="shared" si="6"/>
        <v>198.57999999999998</v>
      </c>
    </row>
    <row r="43" spans="2:13" ht="15.75" thickBot="1" x14ac:dyDescent="0.3">
      <c r="B43" s="68">
        <f>SUM(D42:D48)</f>
        <v>701.88</v>
      </c>
      <c r="C43" s="63" t="s">
        <v>69</v>
      </c>
      <c r="D43" s="64">
        <f>SUBTOTAL(9,Fev!D51,Fev!D51,Mar!D51,Abr!D51,Mai!D51,Jun!D51,Jul!D51,Ago!D51,Set!D51,Out!D51,Nov!D51,Dez!D51)</f>
        <v>0</v>
      </c>
      <c r="H43" s="43">
        <f>SUM(K38:K43)</f>
        <v>1444.5600000000002</v>
      </c>
      <c r="I43" s="179" t="s">
        <v>236</v>
      </c>
      <c r="J43" s="180" t="s">
        <v>238</v>
      </c>
      <c r="K43" s="180">
        <v>106.76</v>
      </c>
      <c r="L43" s="180">
        <v>171.85</v>
      </c>
      <c r="M43" s="161">
        <f>L43-K43</f>
        <v>65.089999999999989</v>
      </c>
    </row>
    <row r="44" spans="2:13" ht="15.75" thickBot="1" x14ac:dyDescent="0.3">
      <c r="B44"/>
      <c r="C44" s="63" t="s">
        <v>70</v>
      </c>
      <c r="D44" s="64">
        <f>SUBTOTAL(9,Fev!D52,Fev!D52,Mar!D52,Abr!D52,Mai!D52,Jun!D52,Jul!D52,Ago!D52,Set!D52,Out!D52,Nov!D52,Dez!D52)</f>
        <v>0</v>
      </c>
    </row>
    <row r="45" spans="2:13" ht="16.5" thickBot="1" x14ac:dyDescent="0.3">
      <c r="B45"/>
      <c r="C45" s="63" t="s">
        <v>37</v>
      </c>
      <c r="D45" s="64">
        <f>SUBTOTAL(9,Fev!D53,Fev!D53,Mar!D53,Abr!D53,Mai!D53,Jun!D53,Jul!D53,Ago!D53,Set!D53,Out!D53,Nov!D53,Dez!D53)</f>
        <v>142</v>
      </c>
      <c r="I45" s="170" t="s">
        <v>115</v>
      </c>
      <c r="J45" s="171"/>
      <c r="K45" s="171"/>
      <c r="L45" s="172">
        <f>SUM(K30:K43)</f>
        <v>9127.07</v>
      </c>
      <c r="M45" s="173"/>
    </row>
    <row r="46" spans="2:13" x14ac:dyDescent="0.25">
      <c r="B46"/>
      <c r="C46" s="63" t="s">
        <v>71</v>
      </c>
      <c r="D46" s="64">
        <f>SUBTOTAL(9,Fev!D54,Fev!D54,Mar!D54,Abr!D54,Mai!D54,Jun!D54,Jul!D54,Ago!D54,Set!D54,Out!D54,Nov!D54,Dez!D54)</f>
        <v>0</v>
      </c>
    </row>
    <row r="47" spans="2:13" x14ac:dyDescent="0.25">
      <c r="B47"/>
      <c r="C47" s="63" t="s">
        <v>39</v>
      </c>
      <c r="D47" s="64">
        <f>SUBTOTAL(9,Fev!D55,Fev!D55,Mar!D55,Abr!D55,Mai!D55,Jun!D55,Jul!D55,Ago!D55,Set!D55,Out!D55,Nov!D55,Dez!D55)</f>
        <v>452.48</v>
      </c>
    </row>
    <row r="48" spans="2:13" ht="15.75" thickBot="1" x14ac:dyDescent="0.3">
      <c r="B48"/>
      <c r="C48" s="65"/>
      <c r="D48" s="66">
        <f>SUBTOTAL(9,Fev!D56,Fev!D56,Mar!D56,Abr!D56,Mai!D56,Jun!D56,Jul!D56,Ago!D56,Set!D56,Out!D56,Nov!D56,Dez!D56)</f>
        <v>0</v>
      </c>
    </row>
    <row r="49" spans="2:4" ht="15.75" thickBot="1" x14ac:dyDescent="0.3">
      <c r="B49"/>
      <c r="C49"/>
      <c r="D49"/>
    </row>
    <row r="50" spans="2:4" x14ac:dyDescent="0.25">
      <c r="B50" s="67" t="s">
        <v>23</v>
      </c>
      <c r="C50" s="61" t="s">
        <v>102</v>
      </c>
      <c r="D50" s="62">
        <f>SUBTOTAL(9,Fev!D58,Fev!D58,Mar!D58,Abr!D58,Mai!D58,Jun!D58,Jul!D58,Ago!D58,Set!D58,Out!D58,Nov!D58,Dez!D58)</f>
        <v>0</v>
      </c>
    </row>
    <row r="51" spans="2:4" ht="15.75" thickBot="1" x14ac:dyDescent="0.3">
      <c r="B51" s="68">
        <f>SUM(D50:D56)</f>
        <v>899.18000000000006</v>
      </c>
      <c r="C51" s="63" t="s">
        <v>29</v>
      </c>
      <c r="D51" s="64">
        <f>SUBTOTAL(9,Fev!D59,Fev!D59,Mar!D59,Abr!D59,Mai!D59,Jun!D59,Jul!D59,Ago!D59,Set!D59,Out!D59,Nov!D59,Dez!D59)</f>
        <v>0</v>
      </c>
    </row>
    <row r="52" spans="2:4" x14ac:dyDescent="0.25">
      <c r="B52"/>
      <c r="C52" s="63" t="s">
        <v>72</v>
      </c>
      <c r="D52" s="64">
        <f>SUBTOTAL(9,Fev!D60,Fev!D60,Mar!D60,Abr!D60,Mai!D60,Jun!D60,Jul!D60,Ago!D60,Set!D60,Out!D60,Nov!D60,Dez!D60)</f>
        <v>0</v>
      </c>
    </row>
    <row r="53" spans="2:4" x14ac:dyDescent="0.25">
      <c r="B53"/>
      <c r="C53" s="63" t="s">
        <v>73</v>
      </c>
      <c r="D53" s="64">
        <f>SUBTOTAL(9,Fev!D61,Fev!D61,Mar!D61,Abr!D61,Mai!D61,Jun!D61,Jul!D61,Ago!D61,Set!D61,Out!D61,Nov!D61,Dez!D61)</f>
        <v>0</v>
      </c>
    </row>
    <row r="54" spans="2:4" x14ac:dyDescent="0.25">
      <c r="B54"/>
      <c r="C54" s="63" t="s">
        <v>74</v>
      </c>
      <c r="D54" s="64">
        <f>SUBTOTAL(9,Fev!D62,Fev!D62,Mar!D62,Abr!D62,Mai!D62,Jun!D62,Jul!D62,Ago!D62,Set!D62,Out!D62,Nov!D62,Dez!D62)</f>
        <v>422.34000000000003</v>
      </c>
    </row>
    <row r="55" spans="2:4" x14ac:dyDescent="0.25">
      <c r="B55"/>
      <c r="C55" s="63" t="s">
        <v>24</v>
      </c>
      <c r="D55" s="64">
        <f>SUBTOTAL(9,Fev!D63,Fev!D63,Mar!D63,Abr!D63,Mai!D63,Jun!D63,Jul!D63,Ago!D63,Set!D63,Out!D63,Nov!D63,Dez!D63)</f>
        <v>476.84</v>
      </c>
    </row>
    <row r="56" spans="2:4" ht="15.75" thickBot="1" x14ac:dyDescent="0.3">
      <c r="B56"/>
      <c r="C56" s="65"/>
      <c r="D56" s="66">
        <f>SUBTOTAL(9,Fev!D64,Fev!D64,Mar!D64,Abr!D64,Mai!D64,Jun!D64,Jul!D64,Ago!D64,Set!D64,Out!D64,Nov!D64,Dez!D64)</f>
        <v>0</v>
      </c>
    </row>
    <row r="57" spans="2:4" ht="15.75" thickBot="1" x14ac:dyDescent="0.3">
      <c r="B57"/>
      <c r="C57"/>
      <c r="D57"/>
    </row>
    <row r="58" spans="2:4" x14ac:dyDescent="0.25">
      <c r="B58" s="67" t="s">
        <v>64</v>
      </c>
      <c r="C58" s="61" t="s">
        <v>103</v>
      </c>
      <c r="D58" s="62">
        <f>SUBTOTAL(9,Fev!D66,Fev!D66,Mar!D66,Abr!D66,Mai!D66,Jun!D66,Jul!D66,Ago!D66,Set!D66,Out!D66,Nov!D66,Dez!D66)</f>
        <v>0</v>
      </c>
    </row>
    <row r="59" spans="2:4" ht="15.75" thickBot="1" x14ac:dyDescent="0.3">
      <c r="B59" s="68">
        <f>SUM(D58:D64)</f>
        <v>34.450000000000003</v>
      </c>
      <c r="C59" s="63" t="s">
        <v>76</v>
      </c>
      <c r="D59" s="64">
        <f>SUBTOTAL(9,Fev!D67,Fev!D67,Mar!D67,Abr!D67,Mai!D67,Jun!D67,Jul!D67,Ago!D67,Set!D67,Out!D67,Nov!D67,Dez!D67)</f>
        <v>0</v>
      </c>
    </row>
    <row r="60" spans="2:4" x14ac:dyDescent="0.25">
      <c r="B60"/>
      <c r="C60" s="63" t="s">
        <v>77</v>
      </c>
      <c r="D60" s="64">
        <f>SUBTOTAL(9,Fev!D68,Fev!D68,Mar!D68,Abr!D68,Mai!D68,Jun!D68,Jul!D68,Ago!D68,Set!D68,Out!D68,Nov!D68,Dez!D68)</f>
        <v>34.450000000000003</v>
      </c>
    </row>
    <row r="61" spans="2:4" x14ac:dyDescent="0.25">
      <c r="B61"/>
      <c r="C61" s="63" t="s">
        <v>104</v>
      </c>
      <c r="D61" s="64">
        <f>SUBTOTAL(9,Fev!D69,Fev!D69,Mar!D69,Abr!D69,Mai!D69,Jun!D69,Jul!D69,Ago!D69,Set!D69,Out!D69,Nov!D69,Dez!D69)</f>
        <v>0</v>
      </c>
    </row>
    <row r="62" spans="2:4" x14ac:dyDescent="0.25">
      <c r="B62"/>
      <c r="C62" s="63" t="s">
        <v>79</v>
      </c>
      <c r="D62" s="64">
        <f>SUBTOTAL(9,Fev!D70,Fev!D70,Mar!D70,Abr!D70,Mai!D70,Jun!D70,Jul!D70,Ago!D70,Set!D70,Out!D70,Nov!D70,Dez!D70)</f>
        <v>0</v>
      </c>
    </row>
    <row r="63" spans="2:4" x14ac:dyDescent="0.25">
      <c r="B63"/>
      <c r="C63" s="63" t="s">
        <v>80</v>
      </c>
      <c r="D63" s="64">
        <f>SUBTOTAL(9,Fev!D71,Fev!D71,Mar!D71,Abr!D71,Mai!D71,Jun!D71,Jul!D71,Ago!D71,Set!D71,Out!D71,Nov!D71,Dez!D71)</f>
        <v>0</v>
      </c>
    </row>
    <row r="64" spans="2:4" ht="15.75" thickBot="1" x14ac:dyDescent="0.3">
      <c r="B64"/>
      <c r="C64" s="65"/>
      <c r="D64" s="66">
        <f>SUBTOTAL(9,Fev!D72,Fev!D72,Mar!D72,Abr!D72,Mai!D72,Jun!D72,Jul!D72,Ago!D72,Set!D72,Out!D72,Nov!D72,Dez!D72)</f>
        <v>0</v>
      </c>
    </row>
    <row r="65" spans="2:4" ht="15.75" thickBot="1" x14ac:dyDescent="0.3">
      <c r="B65"/>
      <c r="C65"/>
    </row>
    <row r="66" spans="2:4" x14ac:dyDescent="0.25">
      <c r="B66" s="67" t="s">
        <v>65</v>
      </c>
      <c r="C66" s="61" t="s">
        <v>81</v>
      </c>
      <c r="D66" s="62">
        <f>SUBTOTAL(9,Fev!D74,Fev!D74,Mar!D74,Abr!D74,Mai!D74,Jun!D74,Jul!D74,Ago!D74,Set!D74,Out!D74,Nov!D74,Dez!D74)</f>
        <v>0</v>
      </c>
    </row>
    <row r="67" spans="2:4" ht="15.75" thickBot="1" x14ac:dyDescent="0.3">
      <c r="B67" s="68">
        <f>SUM(D66:D72)</f>
        <v>0</v>
      </c>
      <c r="C67" s="63" t="s">
        <v>82</v>
      </c>
      <c r="D67" s="64">
        <f>SUBTOTAL(9,Fev!D75,Fev!D75,Mar!D75,Abr!D75,Mai!D75,Jun!D75,Jul!D75,Ago!D75,Set!D75,Out!D75,Nov!D75,Dez!D75)</f>
        <v>0</v>
      </c>
    </row>
    <row r="68" spans="2:4" x14ac:dyDescent="0.25">
      <c r="B68"/>
      <c r="C68" s="63" t="s">
        <v>84</v>
      </c>
      <c r="D68" s="64">
        <f>SUBTOTAL(9,Fev!D76,Fev!D76,Mar!D76,Abr!D76,Mai!D76,Jun!D76,Jul!D76,Ago!D76,Set!D76,Out!D76,Nov!D76,Dez!D76)</f>
        <v>0</v>
      </c>
    </row>
    <row r="69" spans="2:4" x14ac:dyDescent="0.25">
      <c r="B69"/>
      <c r="C69" s="63" t="s">
        <v>86</v>
      </c>
      <c r="D69" s="64">
        <f>SUBTOTAL(9,Fev!D77,Fev!D77,Mar!D77,Abr!D77,Mai!D77,Jun!D77,Jul!D77,Ago!D77,Set!D77,Out!D77,Nov!D77,Dez!D77)</f>
        <v>0</v>
      </c>
    </row>
    <row r="70" spans="2:4" x14ac:dyDescent="0.25">
      <c r="B70"/>
      <c r="C70" s="63"/>
      <c r="D70" s="64">
        <f>SUBTOTAL(9,Fev!D78,Fev!D78,Mar!D78,Abr!D78,Mai!D78,Jun!D78,Jul!D78,Ago!D78,Set!D78,Out!D78,Nov!D78,Dez!D78)</f>
        <v>0</v>
      </c>
    </row>
    <row r="71" spans="2:4" x14ac:dyDescent="0.25">
      <c r="B71"/>
      <c r="C71" s="63"/>
      <c r="D71" s="64">
        <f>SUBTOTAL(9,Fev!D79,Fev!D79,Mar!D79,Abr!D79,Mai!D79,Jun!D79,Jul!D79,Ago!D79,Set!D79,Out!D79,Nov!D79,Dez!D79)</f>
        <v>0</v>
      </c>
    </row>
    <row r="72" spans="2:4" ht="15.75" thickBot="1" x14ac:dyDescent="0.3">
      <c r="B72"/>
      <c r="C72" s="65"/>
      <c r="D72" s="66">
        <f>SUBTOTAL(9,Fev!D80,Fev!D80,Mar!D80,Abr!D80,Mai!D80,Jun!D80,Jul!D80,Ago!D80,Set!D80,Out!D80,Nov!D80,Dez!D80)</f>
        <v>0</v>
      </c>
    </row>
    <row r="73" spans="2:4" ht="15.75" thickBot="1" x14ac:dyDescent="0.3">
      <c r="B73"/>
      <c r="C73"/>
    </row>
    <row r="74" spans="2:4" x14ac:dyDescent="0.25">
      <c r="B74" s="67" t="s">
        <v>34</v>
      </c>
      <c r="C74" s="61" t="s">
        <v>87</v>
      </c>
      <c r="D74" s="62">
        <f>SUBTOTAL(9,Fev!D82,Fev!D82,Mar!D82,Abr!D82,Mai!D82,Jun!D82,Jul!D82,Ago!D82,Set!D82,Out!D82,Nov!D82,Dez!D82)</f>
        <v>0</v>
      </c>
    </row>
    <row r="75" spans="2:4" ht="15.75" thickBot="1" x14ac:dyDescent="0.3">
      <c r="B75" s="68">
        <f>SUM(D74:D80)</f>
        <v>930</v>
      </c>
      <c r="C75" s="63" t="s">
        <v>88</v>
      </c>
      <c r="D75" s="64">
        <f>SUBTOTAL(9,Fev!D83,Fev!D83,Mar!D83,Abr!D83,Mai!D83,Jun!D83,Jul!D83,Ago!D83,Set!D83,Out!D83,Nov!D83,Dez!D83)</f>
        <v>50</v>
      </c>
    </row>
    <row r="76" spans="2:4" x14ac:dyDescent="0.25">
      <c r="B76"/>
      <c r="C76" s="63" t="s">
        <v>89</v>
      </c>
      <c r="D76" s="64">
        <f>SUBTOTAL(9,Fev!D84,Fev!D84,Mar!D84,Abr!D84,Mai!D84,Jun!D84,Jul!D84,Ago!D84,Set!D84,Out!D84,Nov!D84,Dez!D84)</f>
        <v>0</v>
      </c>
    </row>
    <row r="77" spans="2:4" x14ac:dyDescent="0.25">
      <c r="B77"/>
      <c r="C77" s="63" t="s">
        <v>90</v>
      </c>
      <c r="D77" s="64">
        <f>SUBTOTAL(9,Fev!D85,Fev!D85,Mar!D85,Abr!D85,Mai!D85,Jun!D85,Jul!D85,Ago!D85,Set!D85,Out!D85,Nov!D85,Dez!D85)</f>
        <v>0</v>
      </c>
    </row>
    <row r="78" spans="2:4" x14ac:dyDescent="0.25">
      <c r="B78"/>
      <c r="C78" s="63" t="s">
        <v>91</v>
      </c>
      <c r="D78" s="64">
        <f>SUBTOTAL(9,Fev!D86,Fev!D86,Mar!D86,Abr!D86,Mai!D86,Jun!D86,Jul!D86,Ago!D86,Set!D86,Out!D86,Nov!D86,Dez!D86)</f>
        <v>880</v>
      </c>
    </row>
    <row r="79" spans="2:4" x14ac:dyDescent="0.25">
      <c r="B79"/>
      <c r="C79" s="63" t="s">
        <v>35</v>
      </c>
      <c r="D79" s="64">
        <f>SUBTOTAL(9,Fev!D87,Fev!D87,Mar!D87,Abr!D87,Mai!D87,Jun!D87,Jul!D87,Ago!D87,Set!D87,Out!D87,Nov!D87,Dez!D87)</f>
        <v>0</v>
      </c>
    </row>
    <row r="80" spans="2:4" ht="15.75" thickBot="1" x14ac:dyDescent="0.3">
      <c r="B80"/>
      <c r="C80" s="65"/>
      <c r="D80" s="66">
        <f>SUBTOTAL(9,Fev!D88,Fev!D88,Mar!D88,Abr!D88,Mai!D88,Jun!D88,Jul!D88,Ago!D88,Set!D88,Out!D88,Nov!D88,Dez!D88)</f>
        <v>0</v>
      </c>
    </row>
    <row r="81" spans="2:4" ht="15.75" thickBot="1" x14ac:dyDescent="0.3"/>
    <row r="82" spans="2:4" x14ac:dyDescent="0.25">
      <c r="B82" s="67" t="s">
        <v>193</v>
      </c>
      <c r="C82" s="61" t="s">
        <v>185</v>
      </c>
      <c r="D82" s="62">
        <f>SUBTOTAL(9,Fev!D90,Fev!D90,Mar!D90,Abr!D90,Mai!D90,Jun!D90,Jul!D90,Ago!D90,Set!D90,Out!D90,Nov!D90,Dez!D90)</f>
        <v>3945.2699999999995</v>
      </c>
    </row>
  </sheetData>
  <mergeCells count="3">
    <mergeCell ref="I28:L28"/>
    <mergeCell ref="I45:K45"/>
    <mergeCell ref="L45:M45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B1:R88"/>
  <sheetViews>
    <sheetView showGridLines="0" topLeftCell="E1" zoomScale="85" zoomScaleNormal="85" workbookViewId="0">
      <selection activeCell="M60" sqref="M60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58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27.5703125" bestFit="1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106</v>
      </c>
      <c r="C2" s="78" t="s">
        <v>1</v>
      </c>
      <c r="D2" s="31" t="s">
        <v>2</v>
      </c>
      <c r="E2" s="80"/>
      <c r="F2" s="5" t="s">
        <v>3</v>
      </c>
      <c r="G2" s="81"/>
      <c r="H2" s="80"/>
      <c r="J2" s="77"/>
    </row>
    <row r="3" spans="2:18" x14ac:dyDescent="0.25">
      <c r="B3" s="10" t="s">
        <v>4</v>
      </c>
      <c r="C3" s="79"/>
      <c r="D3" s="26"/>
      <c r="E3" s="80"/>
      <c r="F3" s="38">
        <f>SUM(D3:D7)</f>
        <v>0</v>
      </c>
      <c r="G3" s="81"/>
      <c r="H3" s="80"/>
      <c r="M3" s="48" t="s">
        <v>59</v>
      </c>
      <c r="N3" s="48" t="s">
        <v>60</v>
      </c>
      <c r="P3" s="52" t="s">
        <v>30</v>
      </c>
      <c r="R3" s="51" t="s">
        <v>92</v>
      </c>
    </row>
    <row r="4" spans="2:18" x14ac:dyDescent="0.25">
      <c r="B4" s="6" t="s">
        <v>109</v>
      </c>
      <c r="C4" s="7"/>
      <c r="D4" s="27"/>
      <c r="F4" s="37">
        <f>SUM(F11:F32)</f>
        <v>0</v>
      </c>
      <c r="M4" s="52" t="str">
        <f>P3</f>
        <v>Alimentação</v>
      </c>
      <c r="N4" s="50" t="s">
        <v>101</v>
      </c>
      <c r="P4" s="52" t="s">
        <v>21</v>
      </c>
      <c r="R4" s="51" t="s">
        <v>93</v>
      </c>
    </row>
    <row r="5" spans="2:18" x14ac:dyDescent="0.25">
      <c r="B5" s="24" t="s">
        <v>6</v>
      </c>
      <c r="C5" s="25"/>
      <c r="D5" s="27"/>
      <c r="F5" s="93">
        <f>D4</f>
        <v>0</v>
      </c>
      <c r="N5" s="50" t="s">
        <v>61</v>
      </c>
      <c r="P5" s="52" t="s">
        <v>25</v>
      </c>
      <c r="R5" s="51" t="s">
        <v>94</v>
      </c>
    </row>
    <row r="6" spans="2:18" x14ac:dyDescent="0.25">
      <c r="B6" s="24"/>
      <c r="C6" s="25"/>
      <c r="D6" s="27"/>
      <c r="F6" s="36">
        <f>SUM(K11:K22)</f>
        <v>0</v>
      </c>
      <c r="N6" s="50" t="s">
        <v>120</v>
      </c>
      <c r="P6" s="52" t="s">
        <v>63</v>
      </c>
      <c r="R6" s="51" t="s">
        <v>95</v>
      </c>
    </row>
    <row r="7" spans="2:18" ht="15.75" thickBot="1" x14ac:dyDescent="0.3">
      <c r="B7" s="8" t="s">
        <v>108</v>
      </c>
      <c r="C7" s="9"/>
      <c r="D7" s="28" t="s">
        <v>107</v>
      </c>
      <c r="F7" s="39">
        <f>F3-F4-F6</f>
        <v>0</v>
      </c>
      <c r="N7" s="50" t="s">
        <v>31</v>
      </c>
      <c r="P7" s="52" t="s">
        <v>23</v>
      </c>
      <c r="R7" s="51" t="s">
        <v>96</v>
      </c>
    </row>
    <row r="8" spans="2:18" ht="15.75" thickBot="1" x14ac:dyDescent="0.3">
      <c r="D8"/>
      <c r="N8" s="50" t="s">
        <v>121</v>
      </c>
      <c r="P8" s="52" t="s">
        <v>64</v>
      </c>
      <c r="R8" s="51" t="s">
        <v>97</v>
      </c>
    </row>
    <row r="9" spans="2:18" ht="15.75" thickBot="1" x14ac:dyDescent="0.3">
      <c r="B9" s="162" t="s">
        <v>8</v>
      </c>
      <c r="C9" s="163"/>
      <c r="D9" s="163"/>
      <c r="E9" s="163"/>
      <c r="F9" s="164"/>
      <c r="H9" s="165" t="s">
        <v>9</v>
      </c>
      <c r="I9" s="165"/>
      <c r="J9" s="165"/>
      <c r="K9" s="165"/>
      <c r="N9" s="49"/>
      <c r="P9" s="52" t="s">
        <v>65</v>
      </c>
      <c r="R9" s="51" t="s">
        <v>98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2" t="str">
        <f>P4</f>
        <v>Lazer</v>
      </c>
      <c r="N10" s="50" t="s">
        <v>66</v>
      </c>
      <c r="P10" s="52" t="s">
        <v>34</v>
      </c>
      <c r="R10" s="51" t="s">
        <v>99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0" t="s">
        <v>22</v>
      </c>
      <c r="P11" s="52" t="s">
        <v>100</v>
      </c>
      <c r="R11" s="51" t="s">
        <v>65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0" t="s">
        <v>32</v>
      </c>
      <c r="R12" s="51" t="s">
        <v>100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0" t="s">
        <v>123</v>
      </c>
      <c r="R13" s="51" t="s">
        <v>119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0" t="s">
        <v>33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0" t="s">
        <v>68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15" t="s">
        <v>122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1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2" t="str">
        <f>P5</f>
        <v>Despesas</v>
      </c>
      <c r="N19" s="50" t="s">
        <v>26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0" t="s">
        <v>69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0" t="s">
        <v>124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0" t="s">
        <v>37</v>
      </c>
    </row>
    <row r="23" spans="2:14" x14ac:dyDescent="0.25">
      <c r="B23" s="22"/>
      <c r="C23" s="7"/>
      <c r="D23" s="7"/>
      <c r="E23" s="7"/>
      <c r="F23" s="34"/>
      <c r="N23" s="50" t="s">
        <v>71</v>
      </c>
    </row>
    <row r="24" spans="2:14" x14ac:dyDescent="0.25">
      <c r="B24" s="22"/>
      <c r="C24" s="7"/>
      <c r="D24" s="7"/>
      <c r="E24" s="7"/>
      <c r="F24" s="34"/>
      <c r="N24" s="50" t="s">
        <v>39</v>
      </c>
    </row>
    <row r="25" spans="2:14" x14ac:dyDescent="0.25">
      <c r="B25" s="22"/>
      <c r="C25" s="7"/>
      <c r="D25" s="7"/>
      <c r="E25" s="7"/>
      <c r="F25" s="34"/>
      <c r="N25" s="51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2" t="str">
        <f>P7</f>
        <v>Transporte</v>
      </c>
      <c r="N29" s="50" t="s">
        <v>105</v>
      </c>
    </row>
    <row r="30" spans="2:14" x14ac:dyDescent="0.25">
      <c r="B30" s="22"/>
      <c r="C30" s="7"/>
      <c r="D30" s="7"/>
      <c r="E30" s="7"/>
      <c r="F30" s="34"/>
      <c r="N30" s="50" t="s">
        <v>29</v>
      </c>
    </row>
    <row r="31" spans="2:14" x14ac:dyDescent="0.25">
      <c r="B31" s="22"/>
      <c r="C31" s="7"/>
      <c r="D31" s="7"/>
      <c r="E31" s="7"/>
      <c r="F31" s="34"/>
      <c r="N31" s="50" t="s">
        <v>72</v>
      </c>
    </row>
    <row r="32" spans="2:14" ht="15.75" thickBot="1" x14ac:dyDescent="0.3">
      <c r="B32" s="23"/>
      <c r="C32" s="9"/>
      <c r="D32" s="9"/>
      <c r="E32" s="9"/>
      <c r="F32" s="35"/>
      <c r="N32" s="50" t="s">
        <v>73</v>
      </c>
    </row>
    <row r="33" spans="2:14" x14ac:dyDescent="0.25">
      <c r="D33"/>
      <c r="N33" s="50" t="s">
        <v>74</v>
      </c>
    </row>
    <row r="34" spans="2:14" x14ac:dyDescent="0.25">
      <c r="D34"/>
      <c r="N34" s="50" t="s">
        <v>24</v>
      </c>
    </row>
    <row r="35" spans="2:14" ht="15.75" thickBot="1" x14ac:dyDescent="0.3">
      <c r="B35" s="52" t="s">
        <v>30</v>
      </c>
      <c r="C35" s="50" t="s">
        <v>101</v>
      </c>
      <c r="D35" s="59">
        <f>SUMIF($D$11:$D$32,C35,$F$11:$F$32)</f>
        <v>0</v>
      </c>
      <c r="N35" s="51"/>
    </row>
    <row r="36" spans="2:14" ht="15.75" thickBot="1" x14ac:dyDescent="0.3">
      <c r="B36" s="60">
        <f>SUBTOTAL(9,D35:D39)</f>
        <v>0</v>
      </c>
      <c r="C36" s="50" t="s">
        <v>61</v>
      </c>
      <c r="D36" s="59">
        <f t="shared" ref="D36:D88" si="0">SUMIF($D$11:$D$32,C36,$F$11:$F$32)</f>
        <v>0</v>
      </c>
      <c r="H36" s="86" t="s">
        <v>110</v>
      </c>
      <c r="I36" s="87" t="s">
        <v>111</v>
      </c>
      <c r="J36" s="88" t="s">
        <v>112</v>
      </c>
      <c r="K36" s="89" t="s">
        <v>55</v>
      </c>
    </row>
    <row r="37" spans="2:14" x14ac:dyDescent="0.25">
      <c r="C37" s="50" t="s">
        <v>62</v>
      </c>
      <c r="D37" s="59">
        <f t="shared" si="0"/>
        <v>0</v>
      </c>
      <c r="H37" s="84"/>
      <c r="I37" s="90"/>
      <c r="J37" s="85"/>
      <c r="K37" s="55"/>
      <c r="M37" s="52" t="str">
        <f>P8</f>
        <v>Educação</v>
      </c>
      <c r="N37" s="54" t="s">
        <v>75</v>
      </c>
    </row>
    <row r="38" spans="2:14" x14ac:dyDescent="0.25">
      <c r="C38" s="50" t="s">
        <v>31</v>
      </c>
      <c r="D38" s="59">
        <f t="shared" si="0"/>
        <v>0</v>
      </c>
      <c r="H38" s="72"/>
      <c r="I38" s="91"/>
      <c r="J38" s="82"/>
      <c r="K38" s="56"/>
      <c r="N38" s="54" t="s">
        <v>76</v>
      </c>
    </row>
    <row r="39" spans="2:14" x14ac:dyDescent="0.25">
      <c r="C39" s="50"/>
      <c r="D39" s="59">
        <f t="shared" si="0"/>
        <v>0</v>
      </c>
      <c r="H39" s="72"/>
      <c r="I39" s="91"/>
      <c r="J39" s="82"/>
      <c r="K39" s="56"/>
      <c r="N39" s="54" t="s">
        <v>77</v>
      </c>
    </row>
    <row r="40" spans="2:14" x14ac:dyDescent="0.25">
      <c r="C40" s="49"/>
      <c r="H40" s="72"/>
      <c r="I40" s="91"/>
      <c r="J40" s="82"/>
      <c r="K40" s="56"/>
      <c r="N40" s="54" t="s">
        <v>78</v>
      </c>
    </row>
    <row r="41" spans="2:14" x14ac:dyDescent="0.25">
      <c r="B41" s="52" t="s">
        <v>21</v>
      </c>
      <c r="C41" s="50" t="s">
        <v>66</v>
      </c>
      <c r="D41" s="59">
        <f t="shared" si="0"/>
        <v>0</v>
      </c>
      <c r="H41" s="72"/>
      <c r="I41" s="91"/>
      <c r="J41" s="82"/>
      <c r="K41" s="56"/>
      <c r="N41" s="54" t="s">
        <v>79</v>
      </c>
    </row>
    <row r="42" spans="2:14" x14ac:dyDescent="0.25">
      <c r="B42" s="60">
        <f>SUBTOTAL(9,D41:D48)</f>
        <v>0</v>
      </c>
      <c r="C42" s="50" t="s">
        <v>22</v>
      </c>
      <c r="D42" s="59">
        <f t="shared" si="0"/>
        <v>0</v>
      </c>
      <c r="H42" s="72"/>
      <c r="I42" s="91"/>
      <c r="J42" s="82"/>
      <c r="K42" s="56"/>
      <c r="N42" s="54" t="s">
        <v>80</v>
      </c>
    </row>
    <row r="43" spans="2:14" x14ac:dyDescent="0.25">
      <c r="C43" s="50" t="s">
        <v>32</v>
      </c>
      <c r="D43" s="59">
        <f t="shared" si="0"/>
        <v>0</v>
      </c>
      <c r="H43" s="72"/>
      <c r="I43" s="91"/>
      <c r="J43" s="82"/>
      <c r="K43" s="56"/>
      <c r="N43" s="53"/>
    </row>
    <row r="44" spans="2:14" x14ac:dyDescent="0.25">
      <c r="C44" s="50" t="s">
        <v>68</v>
      </c>
      <c r="D44" s="59">
        <f t="shared" si="0"/>
        <v>0</v>
      </c>
      <c r="H44" s="72"/>
      <c r="I44" s="91"/>
      <c r="J44" s="82"/>
      <c r="K44" s="56"/>
    </row>
    <row r="45" spans="2:14" x14ac:dyDescent="0.25">
      <c r="C45" s="50" t="s">
        <v>67</v>
      </c>
      <c r="D45" s="59">
        <f t="shared" si="0"/>
        <v>0</v>
      </c>
      <c r="H45" s="72"/>
      <c r="I45" s="91"/>
      <c r="J45" s="82"/>
      <c r="K45" s="56"/>
      <c r="M45" s="52" t="str">
        <f>P9</f>
        <v>Saúde</v>
      </c>
      <c r="N45" s="50" t="s">
        <v>81</v>
      </c>
    </row>
    <row r="46" spans="2:14" x14ac:dyDescent="0.25">
      <c r="C46" s="50" t="s">
        <v>33</v>
      </c>
      <c r="D46" s="59">
        <f t="shared" si="0"/>
        <v>0</v>
      </c>
      <c r="H46" s="72"/>
      <c r="I46" s="91"/>
      <c r="J46" s="82"/>
      <c r="K46" s="56"/>
      <c r="N46" s="50" t="s">
        <v>82</v>
      </c>
    </row>
    <row r="47" spans="2:14" x14ac:dyDescent="0.25">
      <c r="C47" s="51"/>
      <c r="D47" s="59">
        <f t="shared" si="0"/>
        <v>0</v>
      </c>
      <c r="H47" s="72"/>
      <c r="I47" s="91"/>
      <c r="J47" s="82"/>
      <c r="K47" s="56"/>
      <c r="N47" s="50" t="s">
        <v>83</v>
      </c>
    </row>
    <row r="48" spans="2:14" x14ac:dyDescent="0.25">
      <c r="C48" s="51"/>
      <c r="D48" s="59">
        <f t="shared" si="0"/>
        <v>0</v>
      </c>
      <c r="H48" s="72"/>
      <c r="I48" s="91"/>
      <c r="J48" s="82"/>
      <c r="K48" s="56"/>
      <c r="N48" s="50" t="s">
        <v>84</v>
      </c>
    </row>
    <row r="49" spans="2:14" x14ac:dyDescent="0.25">
      <c r="H49" s="72"/>
      <c r="I49" s="91"/>
      <c r="J49" s="82"/>
      <c r="K49" s="56"/>
      <c r="N49" s="50" t="s">
        <v>85</v>
      </c>
    </row>
    <row r="50" spans="2:14" x14ac:dyDescent="0.25">
      <c r="B50" s="52" t="s">
        <v>25</v>
      </c>
      <c r="C50" s="50" t="s">
        <v>26</v>
      </c>
      <c r="D50" s="59">
        <f t="shared" si="0"/>
        <v>0</v>
      </c>
      <c r="H50" s="72"/>
      <c r="I50" s="91"/>
      <c r="J50" s="82"/>
      <c r="K50" s="56"/>
      <c r="N50" s="50" t="s">
        <v>86</v>
      </c>
    </row>
    <row r="51" spans="2:14" x14ac:dyDescent="0.25">
      <c r="B51" s="60">
        <f>SUBTOTAL(9,D50:D56)</f>
        <v>0</v>
      </c>
      <c r="C51" s="50" t="s">
        <v>69</v>
      </c>
      <c r="D51" s="59">
        <f t="shared" si="0"/>
        <v>0</v>
      </c>
      <c r="H51" s="72"/>
      <c r="I51" s="91"/>
      <c r="J51" s="82"/>
      <c r="K51" s="56"/>
      <c r="N51" s="51"/>
    </row>
    <row r="52" spans="2:14" ht="15.75" thickBot="1" x14ac:dyDescent="0.3">
      <c r="C52" s="50" t="s">
        <v>70</v>
      </c>
      <c r="D52" s="59">
        <f t="shared" si="0"/>
        <v>0</v>
      </c>
      <c r="H52" s="65"/>
      <c r="I52" s="92"/>
      <c r="J52" s="83"/>
      <c r="K52" s="57"/>
    </row>
    <row r="53" spans="2:14" x14ac:dyDescent="0.25">
      <c r="C53" s="50" t="s">
        <v>37</v>
      </c>
      <c r="D53" s="59">
        <f t="shared" si="0"/>
        <v>0</v>
      </c>
      <c r="M53" s="52" t="str">
        <f>P10</f>
        <v>Imprevistos</v>
      </c>
      <c r="N53" s="50" t="s">
        <v>87</v>
      </c>
    </row>
    <row r="54" spans="2:14" x14ac:dyDescent="0.25">
      <c r="C54" s="50" t="s">
        <v>71</v>
      </c>
      <c r="D54" s="59">
        <f t="shared" si="0"/>
        <v>0</v>
      </c>
      <c r="N54" s="50" t="s">
        <v>88</v>
      </c>
    </row>
    <row r="55" spans="2:14" x14ac:dyDescent="0.25">
      <c r="C55" s="50" t="s">
        <v>39</v>
      </c>
      <c r="D55" s="59">
        <f t="shared" si="0"/>
        <v>0</v>
      </c>
      <c r="N55" s="50" t="s">
        <v>89</v>
      </c>
    </row>
    <row r="56" spans="2:14" x14ac:dyDescent="0.25">
      <c r="C56" s="51"/>
      <c r="D56" s="59">
        <f t="shared" si="0"/>
        <v>0</v>
      </c>
      <c r="N56" s="50" t="s">
        <v>90</v>
      </c>
    </row>
    <row r="57" spans="2:14" x14ac:dyDescent="0.25">
      <c r="N57" s="50" t="s">
        <v>91</v>
      </c>
    </row>
    <row r="58" spans="2:14" x14ac:dyDescent="0.25">
      <c r="B58" s="52" t="s">
        <v>23</v>
      </c>
      <c r="C58" s="50" t="s">
        <v>102</v>
      </c>
      <c r="D58" s="59">
        <f t="shared" si="0"/>
        <v>0</v>
      </c>
      <c r="N58" s="50" t="s">
        <v>35</v>
      </c>
    </row>
    <row r="59" spans="2:14" x14ac:dyDescent="0.25">
      <c r="B59" s="60">
        <f>SUBTOTAL(9,D58:D64)</f>
        <v>0</v>
      </c>
      <c r="C59" s="50" t="s">
        <v>29</v>
      </c>
      <c r="D59" s="59">
        <f t="shared" si="0"/>
        <v>0</v>
      </c>
      <c r="N59" s="51"/>
    </row>
    <row r="60" spans="2:14" x14ac:dyDescent="0.25">
      <c r="C60" s="50" t="s">
        <v>72</v>
      </c>
      <c r="D60" s="59">
        <f t="shared" si="0"/>
        <v>0</v>
      </c>
    </row>
    <row r="61" spans="2:14" x14ac:dyDescent="0.25">
      <c r="C61" s="50" t="s">
        <v>73</v>
      </c>
      <c r="D61" s="59">
        <f t="shared" si="0"/>
        <v>0</v>
      </c>
    </row>
    <row r="62" spans="2:14" x14ac:dyDescent="0.25">
      <c r="C62" s="50" t="s">
        <v>74</v>
      </c>
      <c r="D62" s="59">
        <f t="shared" si="0"/>
        <v>0</v>
      </c>
    </row>
    <row r="63" spans="2:14" x14ac:dyDescent="0.25">
      <c r="C63" s="50" t="s">
        <v>24</v>
      </c>
      <c r="D63" s="59">
        <f t="shared" si="0"/>
        <v>0</v>
      </c>
    </row>
    <row r="64" spans="2:14" x14ac:dyDescent="0.25">
      <c r="C64" s="51"/>
      <c r="D64" s="59">
        <f t="shared" si="0"/>
        <v>0</v>
      </c>
    </row>
    <row r="66" spans="2:4" x14ac:dyDescent="0.25">
      <c r="B66" s="52" t="s">
        <v>64</v>
      </c>
      <c r="C66" s="54" t="s">
        <v>103</v>
      </c>
      <c r="D66" s="59">
        <f t="shared" si="0"/>
        <v>0</v>
      </c>
    </row>
    <row r="67" spans="2:4" x14ac:dyDescent="0.25">
      <c r="B67" s="60">
        <f>SUBTOTAL(9,D66:D72)</f>
        <v>0</v>
      </c>
      <c r="C67" s="54" t="s">
        <v>76</v>
      </c>
      <c r="D67" s="59">
        <f t="shared" si="0"/>
        <v>0</v>
      </c>
    </row>
    <row r="68" spans="2:4" x14ac:dyDescent="0.25">
      <c r="C68" s="54" t="s">
        <v>77</v>
      </c>
      <c r="D68" s="59">
        <f t="shared" si="0"/>
        <v>0</v>
      </c>
    </row>
    <row r="69" spans="2:4" x14ac:dyDescent="0.25">
      <c r="C69" s="54" t="s">
        <v>104</v>
      </c>
      <c r="D69" s="59">
        <f t="shared" si="0"/>
        <v>0</v>
      </c>
    </row>
    <row r="70" spans="2:4" x14ac:dyDescent="0.25">
      <c r="C70" s="54" t="s">
        <v>79</v>
      </c>
      <c r="D70" s="59">
        <f t="shared" si="0"/>
        <v>0</v>
      </c>
    </row>
    <row r="71" spans="2:4" x14ac:dyDescent="0.25">
      <c r="C71" s="54" t="s">
        <v>80</v>
      </c>
      <c r="D71" s="59">
        <f t="shared" si="0"/>
        <v>0</v>
      </c>
    </row>
    <row r="72" spans="2:4" x14ac:dyDescent="0.25">
      <c r="C72" s="53"/>
      <c r="D72" s="59">
        <f t="shared" si="0"/>
        <v>0</v>
      </c>
    </row>
    <row r="74" spans="2:4" x14ac:dyDescent="0.25">
      <c r="B74" s="52" t="s">
        <v>65</v>
      </c>
      <c r="C74" s="50" t="s">
        <v>81</v>
      </c>
      <c r="D74" s="59">
        <f t="shared" si="0"/>
        <v>0</v>
      </c>
    </row>
    <row r="75" spans="2:4" x14ac:dyDescent="0.25">
      <c r="B75" s="60">
        <f>SUBTOTAL(9,D74:D80)</f>
        <v>0</v>
      </c>
      <c r="C75" s="50" t="s">
        <v>82</v>
      </c>
      <c r="D75" s="59">
        <f t="shared" si="0"/>
        <v>0</v>
      </c>
    </row>
    <row r="76" spans="2:4" x14ac:dyDescent="0.25">
      <c r="C76" s="50" t="s">
        <v>84</v>
      </c>
      <c r="D76" s="59">
        <f t="shared" si="0"/>
        <v>0</v>
      </c>
    </row>
    <row r="77" spans="2:4" x14ac:dyDescent="0.25">
      <c r="C77" s="50" t="s">
        <v>86</v>
      </c>
      <c r="D77" s="59">
        <f t="shared" si="0"/>
        <v>0</v>
      </c>
    </row>
    <row r="78" spans="2:4" x14ac:dyDescent="0.25">
      <c r="C78" s="51"/>
      <c r="D78" s="59">
        <f t="shared" si="0"/>
        <v>0</v>
      </c>
    </row>
    <row r="79" spans="2:4" x14ac:dyDescent="0.25">
      <c r="C79" s="51"/>
      <c r="D79" s="59">
        <f t="shared" si="0"/>
        <v>0</v>
      </c>
    </row>
    <row r="80" spans="2:4" x14ac:dyDescent="0.25">
      <c r="C80" s="51"/>
      <c r="D80" s="59">
        <f t="shared" si="0"/>
        <v>0</v>
      </c>
    </row>
    <row r="82" spans="2:4" x14ac:dyDescent="0.25">
      <c r="B82" s="52" t="s">
        <v>34</v>
      </c>
      <c r="C82" s="50" t="s">
        <v>87</v>
      </c>
      <c r="D82" s="59">
        <f t="shared" si="0"/>
        <v>0</v>
      </c>
    </row>
    <row r="83" spans="2:4" x14ac:dyDescent="0.25">
      <c r="B83" s="60">
        <f>SUBTOTAL(9,D82:D88)</f>
        <v>0</v>
      </c>
      <c r="C83" s="50" t="s">
        <v>88</v>
      </c>
      <c r="D83" s="59">
        <f>SUMIF($D$11:$D$32,C83,$F$11:$F$32)</f>
        <v>0</v>
      </c>
    </row>
    <row r="84" spans="2:4" x14ac:dyDescent="0.25">
      <c r="C84" s="50" t="s">
        <v>89</v>
      </c>
      <c r="D84" s="59">
        <f t="shared" si="0"/>
        <v>0</v>
      </c>
    </row>
    <row r="85" spans="2:4" x14ac:dyDescent="0.25">
      <c r="C85" s="50" t="s">
        <v>90</v>
      </c>
      <c r="D85" s="59">
        <f t="shared" si="0"/>
        <v>0</v>
      </c>
    </row>
    <row r="86" spans="2:4" x14ac:dyDescent="0.25">
      <c r="C86" s="50" t="s">
        <v>91</v>
      </c>
      <c r="D86" s="59">
        <f t="shared" si="0"/>
        <v>0</v>
      </c>
    </row>
    <row r="87" spans="2:4" x14ac:dyDescent="0.25">
      <c r="C87" s="50" t="s">
        <v>35</v>
      </c>
      <c r="D87" s="59">
        <f t="shared" si="0"/>
        <v>0</v>
      </c>
    </row>
    <row r="88" spans="2:4" x14ac:dyDescent="0.25">
      <c r="C88" s="51"/>
      <c r="D88" s="59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7</vt:i4>
      </vt:variant>
    </vt:vector>
  </HeadingPairs>
  <TitlesOfParts>
    <vt:vector size="22" baseType="lpstr">
      <vt:lpstr>Jan</vt:lpstr>
      <vt:lpstr>Fev</vt:lpstr>
      <vt:lpstr>Mar</vt:lpstr>
      <vt:lpstr>Abr</vt:lpstr>
      <vt:lpstr>Mai</vt:lpstr>
      <vt:lpstr>Jul</vt:lpstr>
      <vt:lpstr>Jun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2026-05-23T00:38:14Z</dcterms:modified>
  <cp:category/>
  <cp:contentStatus/>
</cp:coreProperties>
</file>