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1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Jan" sheetId="1" state="visible" r:id="rId3"/>
    <sheet name="Fev" sheetId="2" state="visible" r:id="rId4"/>
    <sheet name="Mar" sheetId="3" state="visible" r:id="rId5"/>
    <sheet name="Abr" sheetId="4" state="visible" r:id="rId6"/>
    <sheet name="Mai" sheetId="5" state="visible" r:id="rId7"/>
    <sheet name="Jun" sheetId="6" state="visible" r:id="rId8"/>
    <sheet name="Jul" sheetId="7" state="visible" r:id="rId9"/>
    <sheet name="Ago" sheetId="8" state="visible" r:id="rId10"/>
    <sheet name="Set" sheetId="9" state="visible" r:id="rId11"/>
    <sheet name="Out" sheetId="10" state="visible" r:id="rId12"/>
    <sheet name="Nov" sheetId="11" state="visible" r:id="rId13"/>
    <sheet name="Dez" sheetId="12" state="visible" r:id="rId14"/>
    <sheet name="Anual" sheetId="13" state="visible" r:id="rId15"/>
    <sheet name="Gastos Fixos anual" sheetId="14" state="visible" r:id="rId16"/>
    <sheet name="Modelo" sheetId="15" state="hidden" r:id="rId17"/>
  </sheets>
  <definedNames>
    <definedName function="false" hidden="false" name="Alimentação" vbProcedure="false">Modelo!$N$4:$N$8</definedName>
    <definedName function="false" hidden="false" name="Despesas" vbProcedure="false">Modelo!$N$19:$N$25</definedName>
    <definedName function="false" hidden="false" name="Educação" vbProcedure="false">Modelo!$N$37:$N$43</definedName>
    <definedName function="false" hidden="false" name="Imprevistos" vbProcedure="false">Modelo!$N$53:$N$59</definedName>
    <definedName function="false" hidden="false" name="Lazer" vbProcedure="false">Modelo!$N$10:$N$17</definedName>
    <definedName function="false" hidden="false" name="Moradia" vbProcedure="false">modelo!#ref!</definedName>
    <definedName function="false" hidden="false" name="Saúde" vbProcedure="false">Modelo!$N$45:$N$51</definedName>
    <definedName function="false" hidden="false" name="Transporte" vbProcedure="false">Modelo!$N$29:$N$35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55319</author>
  </authors>
  <commentList>
    <comment ref="O11" authorId="0">
      <text>
        <r>
          <rPr>
            <sz val="10"/>
            <rFont val="Arial"/>
            <family val="2"/>
          </rPr>
          <t xml:space="preserve">Preciso melhorar:
Abordagem
Venda
Preço 
Iluminação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</xdr:col>
                <xdr:colOff>193</xdr:colOff>
                <xdr:row>9</xdr:row>
                <xdr:rowOff>16</xdr:rowOff>
              </xdr:from>
              <xdr:to>
                <xdr:col>11</xdr:col>
                <xdr:colOff>-32</xdr:colOff>
                <xdr:row>13</xdr:row>
                <xdr:rowOff>19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<sst xmlns="http://schemas.openxmlformats.org/spreadsheetml/2006/main" count="1678" uniqueCount="268">
  <si>
    <t xml:space="preserve">JAN</t>
  </si>
  <si>
    <t xml:space="preserve">entradas</t>
  </si>
  <si>
    <t xml:space="preserve">valor</t>
  </si>
  <si>
    <t xml:space="preserve">Saldo mensal</t>
  </si>
  <si>
    <t xml:space="preserve">salário</t>
  </si>
  <si>
    <t xml:space="preserve">entrada total - tudo que tenho</t>
  </si>
  <si>
    <t xml:space="preserve">data</t>
  </si>
  <si>
    <t xml:space="preserve">dinheiro guardado</t>
  </si>
  <si>
    <t xml:space="preserve">Fotografia</t>
  </si>
  <si>
    <t xml:space="preserve">gastos variados</t>
  </si>
  <si>
    <t xml:space="preserve"> </t>
  </si>
  <si>
    <t xml:space="preserve">dinheiro para inestimento futuro</t>
  </si>
  <si>
    <t xml:space="preserve">extra 2</t>
  </si>
  <si>
    <t xml:space="preserve">entradas fotografia</t>
  </si>
  <si>
    <t xml:space="preserve">ultimo update</t>
  </si>
  <si>
    <t xml:space="preserve">dinheiro para lente</t>
  </si>
  <si>
    <t xml:space="preserve">extra 3</t>
  </si>
  <si>
    <t xml:space="preserve">saidas fixas</t>
  </si>
  <si>
    <t xml:space="preserve">para passar o mês, tenho =&gt;</t>
  </si>
  <si>
    <t xml:space="preserve">saldo</t>
  </si>
  <si>
    <t xml:space="preserve">Variados</t>
  </si>
  <si>
    <t xml:space="preserve">Fixos</t>
  </si>
  <si>
    <t xml:space="preserve">Trabalho</t>
  </si>
  <si>
    <t xml:space="preserve">Data</t>
  </si>
  <si>
    <t xml:space="preserve">Descrição</t>
  </si>
  <si>
    <t xml:space="preserve">Entradas</t>
  </si>
  <si>
    <t xml:space="preserve">topico</t>
  </si>
  <si>
    <t xml:space="preserve">sub-tópico</t>
  </si>
  <si>
    <t xml:space="preserve">descrição</t>
  </si>
  <si>
    <t xml:space="preserve">Topico</t>
  </si>
  <si>
    <t xml:space="preserve">Astra</t>
  </si>
  <si>
    <t xml:space="preserve">fotos de carro, Astra</t>
  </si>
  <si>
    <t xml:space="preserve">Despesas</t>
  </si>
  <si>
    <t xml:space="preserve">Compras online aleatórias</t>
  </si>
  <si>
    <t xml:space="preserve">presente da marcelles</t>
  </si>
  <si>
    <t xml:space="preserve">Planos/assinaturas</t>
  </si>
  <si>
    <t xml:space="preserve">internet 5G</t>
  </si>
  <si>
    <t xml:space="preserve">fotos do volei  + banlek acumulado</t>
  </si>
  <si>
    <t xml:space="preserve">fotos do volei</t>
  </si>
  <si>
    <t xml:space="preserve">Transporte</t>
  </si>
  <si>
    <t xml:space="preserve">Uber / Táxi</t>
  </si>
  <si>
    <t xml:space="preserve">gasolina pro coroa</t>
  </si>
  <si>
    <t xml:space="preserve">Parcelas</t>
  </si>
  <si>
    <t xml:space="preserve">camera</t>
  </si>
  <si>
    <t xml:space="preserve">Fotografia (equipamentos e cursos)</t>
  </si>
  <si>
    <t xml:space="preserve">flash</t>
  </si>
  <si>
    <t xml:space="preserve">volei</t>
  </si>
  <si>
    <t xml:space="preserve">Manutenção (óleo, pneu, etc)</t>
  </si>
  <si>
    <t xml:space="preserve">oléo</t>
  </si>
  <si>
    <t xml:space="preserve">Gasolina</t>
  </si>
  <si>
    <t xml:space="preserve">Lazer</t>
  </si>
  <si>
    <t xml:space="preserve">Saídas com amigos</t>
  </si>
  <si>
    <t xml:space="preserve">açaí</t>
  </si>
  <si>
    <t xml:space="preserve">acampamento</t>
  </si>
  <si>
    <t xml:space="preserve">lazer</t>
  </si>
  <si>
    <t xml:space="preserve">Esportes / saidas</t>
  </si>
  <si>
    <t xml:space="preserve">babeiro</t>
  </si>
  <si>
    <t xml:space="preserve">Doações / Contribuições</t>
  </si>
  <si>
    <t xml:space="preserve">oferta</t>
  </si>
  <si>
    <t xml:space="preserve">Gastos pessoais (roupas, acessórios)</t>
  </si>
  <si>
    <t xml:space="preserve">padaria e armazem (trena)</t>
  </si>
  <si>
    <t xml:space="preserve">alimentação</t>
  </si>
  <si>
    <t xml:space="preserve">Supermercado</t>
  </si>
  <si>
    <t xml:space="preserve">supermecado brasil</t>
  </si>
  <si>
    <t xml:space="preserve">Alimentação</t>
  </si>
  <si>
    <t xml:space="preserve">Doces</t>
  </si>
  <si>
    <t xml:space="preserve">Internet</t>
  </si>
  <si>
    <t xml:space="preserve">Padaria </t>
  </si>
  <si>
    <t xml:space="preserve"> Almoço fora</t>
  </si>
  <si>
    <t xml:space="preserve">Agua</t>
  </si>
  <si>
    <t xml:space="preserve">Lanches / Snacks</t>
  </si>
  <si>
    <t xml:space="preserve">Luz</t>
  </si>
  <si>
    <t xml:space="preserve">Dizimos</t>
  </si>
  <si>
    <t xml:space="preserve">Delivery (iFood, etc)</t>
  </si>
  <si>
    <t xml:space="preserve">Ofertas</t>
  </si>
  <si>
    <t xml:space="preserve">Cinema / Shows</t>
  </si>
  <si>
    <t xml:space="preserve">Passeios / Viagens</t>
  </si>
  <si>
    <t xml:space="preserve">Saúde</t>
  </si>
  <si>
    <t xml:space="preserve">Compras por impulso (não essenciais)</t>
  </si>
  <si>
    <t xml:space="preserve">Investimento</t>
  </si>
  <si>
    <t xml:space="preserve"> Jogos / Games / Aplicativos pagos</t>
  </si>
  <si>
    <t xml:space="preserve">Presentes e datas comemorativas</t>
  </si>
  <si>
    <t xml:space="preserve">Taxas bancárias / Pix por engano</t>
  </si>
  <si>
    <t xml:space="preserve">Manutenção da casa (lâmpada, pilha, etc)</t>
  </si>
  <si>
    <t xml:space="preserve">Acessório</t>
  </si>
  <si>
    <t xml:space="preserve">Ônibus / Metrô</t>
  </si>
  <si>
    <t xml:space="preserve">Estacionamento</t>
  </si>
  <si>
    <t xml:space="preserve">Multas / Documentação</t>
  </si>
  <si>
    <t xml:space="preserve">Educação</t>
  </si>
  <si>
    <t xml:space="preserve">Livros </t>
  </si>
  <si>
    <t xml:space="preserve">Cursos online (Udemy, Alura, etc)</t>
  </si>
  <si>
    <t xml:space="preserve">Material escolar / didático</t>
  </si>
  <si>
    <t xml:space="preserve">Apostilas</t>
  </si>
  <si>
    <t xml:space="preserve">Internet dedicada para estudos</t>
  </si>
  <si>
    <t xml:space="preserve">Plataformas de aprendizado </t>
  </si>
  <si>
    <t xml:space="preserve">Medicamentos</t>
  </si>
  <si>
    <t xml:space="preserve">Consultas médicas / exames</t>
  </si>
  <si>
    <t xml:space="preserve">Óculos / lentes</t>
  </si>
  <si>
    <t xml:space="preserve">Produtos de higiene e cuidados pessoais</t>
  </si>
  <si>
    <t xml:space="preserve">Imprevistos</t>
  </si>
  <si>
    <t xml:space="preserve">Emergência médica ou odontológica</t>
  </si>
  <si>
    <t xml:space="preserve">Equipamento quebrado (celular, notebook)</t>
  </si>
  <si>
    <t xml:space="preserve">Perda de documentos / taxas</t>
  </si>
  <si>
    <t xml:space="preserve">Atrasos em contas com juros</t>
  </si>
  <si>
    <t xml:space="preserve">Conserto urgente (casa, carro, etc)</t>
  </si>
  <si>
    <t xml:space="preserve">Ajuda financeira a alguém (urgente)</t>
  </si>
  <si>
    <t xml:space="preserve">Fev</t>
  </si>
  <si>
    <t xml:space="preserve">Saldo</t>
  </si>
  <si>
    <t xml:space="preserve">Eventos</t>
  </si>
  <si>
    <t xml:space="preserve">Bernardo</t>
  </si>
  <si>
    <t xml:space="preserve">aiversario do Be</t>
  </si>
  <si>
    <t xml:space="preserve">tenis</t>
  </si>
  <si>
    <t xml:space="preserve">betel</t>
  </si>
  <si>
    <t xml:space="preserve">ipva</t>
  </si>
  <si>
    <t xml:space="preserve">mensal</t>
  </si>
  <si>
    <t xml:space="preserve">gasolina pra manu</t>
  </si>
  <si>
    <t xml:space="preserve">cannon</t>
  </si>
  <si>
    <t xml:space="preserve">brasil</t>
  </si>
  <si>
    <t xml:space="preserve">sitio</t>
  </si>
  <si>
    <t xml:space="preserve">churrasco</t>
  </si>
  <si>
    <t xml:space="preserve">spotify</t>
  </si>
  <si>
    <t xml:space="preserve">claro</t>
  </si>
  <si>
    <t xml:space="preserve">MAR</t>
  </si>
  <si>
    <t xml:space="preserve">pasta, calculadora</t>
  </si>
  <si>
    <t xml:space="preserve">relação</t>
  </si>
  <si>
    <t xml:space="preserve">monster</t>
  </si>
  <si>
    <t xml:space="preserve">balaclava</t>
  </si>
  <si>
    <t xml:space="preserve">moto</t>
  </si>
  <si>
    <t xml:space="preserve">hamburgao</t>
  </si>
  <si>
    <t xml:space="preserve">Barbeiro</t>
  </si>
  <si>
    <t xml:space="preserve">ABR</t>
  </si>
  <si>
    <t xml:space="preserve">qualeasenha?</t>
  </si>
  <si>
    <t xml:space="preserve">peguei dinheiro na banlek</t>
  </si>
  <si>
    <t xml:space="preserve">dinheiro </t>
  </si>
  <si>
    <t xml:space="preserve">lanche pra facul</t>
  </si>
  <si>
    <t xml:space="preserve">lanche pra igreja eu acho</t>
  </si>
  <si>
    <t xml:space="preserve">net</t>
  </si>
  <si>
    <t xml:space="preserve">show projeto sola, ingresso</t>
  </si>
  <si>
    <t xml:space="preserve">jo e livro</t>
  </si>
  <si>
    <t xml:space="preserve">dizimo do mês</t>
  </si>
  <si>
    <t xml:space="preserve">acai</t>
  </si>
  <si>
    <t xml:space="preserve">camisa campeonato</t>
  </si>
  <si>
    <t xml:space="preserve">gasolina pra são joao</t>
  </si>
  <si>
    <t xml:space="preserve">manu </t>
  </si>
  <si>
    <t xml:space="preserve">lorena e jão</t>
  </si>
  <si>
    <t xml:space="preserve">pc - gabinete</t>
  </si>
  <si>
    <t xml:space="preserve">moto bati</t>
  </si>
  <si>
    <t xml:space="preserve">MAI</t>
  </si>
  <si>
    <t xml:space="preserve">tenho </t>
  </si>
  <si>
    <t xml:space="preserve">retirei esse mês</t>
  </si>
  <si>
    <t xml:space="preserve">dinheiro para investimento futuro</t>
  </si>
  <si>
    <t xml:space="preserve">estou me devendo =&gt;</t>
  </si>
  <si>
    <t xml:space="preserve">edição </t>
  </si>
  <si>
    <t xml:space="preserve">maycon</t>
  </si>
  <si>
    <t xml:space="preserve">Almoço fora</t>
  </si>
  <si>
    <t xml:space="preserve">churrasco e sucos</t>
  </si>
  <si>
    <t xml:space="preserve">pc - placa mãe</t>
  </si>
  <si>
    <t xml:space="preserve">joyce</t>
  </si>
  <si>
    <t xml:space="preserve">oleo</t>
  </si>
  <si>
    <t xml:space="preserve">mae</t>
  </si>
  <si>
    <t xml:space="preserve">pc - processador</t>
  </si>
  <si>
    <t xml:space="preserve">pc - fonte e cooler</t>
  </si>
  <si>
    <t xml:space="preserve">pc - mouse e mouse pad</t>
  </si>
  <si>
    <t xml:space="preserve">facul</t>
  </si>
  <si>
    <t xml:space="preserve">pc - teclado</t>
  </si>
  <si>
    <t xml:space="preserve">pc - monitor</t>
  </si>
  <si>
    <t xml:space="preserve">pc - ventuinhas</t>
  </si>
  <si>
    <t xml:space="preserve">pc - ram</t>
  </si>
  <si>
    <t xml:space="preserve">Pc – ventoinhas</t>
  </si>
  <si>
    <t xml:space="preserve">JUN</t>
  </si>
  <si>
    <t xml:space="preserve">dinheiro para inVestimento futuro</t>
  </si>
  <si>
    <t xml:space="preserve">mãe</t>
  </si>
  <si>
    <t xml:space="preserve">spotify já foi pago</t>
  </si>
  <si>
    <t xml:space="preserve">barbeiro</t>
  </si>
  <si>
    <t xml:space="preserve">gasolina</t>
  </si>
  <si>
    <t xml:space="preserve">dizimo</t>
  </si>
  <si>
    <t xml:space="preserve">marcelles </t>
  </si>
  <si>
    <t xml:space="preserve">jogo do brasil</t>
  </si>
  <si>
    <t xml:space="preserve">terabyte</t>
  </si>
  <si>
    <t xml:space="preserve">SSD</t>
  </si>
  <si>
    <t xml:space="preserve">Magalu</t>
  </si>
  <si>
    <t xml:space="preserve">RAM</t>
  </si>
  <si>
    <t xml:space="preserve">amazon OU shoope</t>
  </si>
  <si>
    <t xml:space="preserve">MONITOR</t>
  </si>
  <si>
    <t xml:space="preserve">aliepres</t>
  </si>
  <si>
    <t xml:space="preserve">MOUSE</t>
  </si>
  <si>
    <t xml:space="preserve">pichau</t>
  </si>
  <si>
    <t xml:space="preserve">FONTE</t>
  </si>
  <si>
    <t xml:space="preserve">aliespres</t>
  </si>
  <si>
    <t xml:space="preserve">mousepad</t>
  </si>
  <si>
    <t xml:space="preserve">kabum</t>
  </si>
  <si>
    <t xml:space="preserve">TECLADO</t>
  </si>
  <si>
    <t xml:space="preserve">COOLER</t>
  </si>
  <si>
    <t xml:space="preserve">JUL</t>
  </si>
  <si>
    <t xml:space="preserve">renovaocao dos votos</t>
  </si>
  <si>
    <t xml:space="preserve">Jogos / Games / Aplicativos pagos</t>
  </si>
  <si>
    <t xml:space="preserve">cartao</t>
  </si>
  <si>
    <t xml:space="preserve">renovacao dos votos</t>
  </si>
  <si>
    <t xml:space="preserve">bugao</t>
  </si>
  <si>
    <t xml:space="preserve">Sitio</t>
  </si>
  <si>
    <t xml:space="preserve">moletom e camisa</t>
  </si>
  <si>
    <t xml:space="preserve">espetinho</t>
  </si>
  <si>
    <t xml:space="preserve">AGO</t>
  </si>
  <si>
    <t xml:space="preserve">08.08</t>
  </si>
  <si>
    <t xml:space="preserve">SET</t>
  </si>
  <si>
    <t xml:space="preserve">OUT</t>
  </si>
  <si>
    <t xml:space="preserve">NOV</t>
  </si>
  <si>
    <t xml:space="preserve">DEZ</t>
  </si>
  <si>
    <t xml:space="preserve">SUB-TOTAIS</t>
  </si>
  <si>
    <t xml:space="preserve">Jan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</si>
  <si>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</si>
  <si>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</si>
  <si>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</si>
  <si>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</si>
  <si>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</si>
  <si>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</si>
  <si>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</si>
  <si>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</si>
  <si>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</si>
  <si>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</si>
  <si>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total</t>
  </si>
  <si>
    <t xml:space="preserve">Saidas Variáveis</t>
  </si>
  <si>
    <t xml:space="preserve">Saidas Fixas</t>
  </si>
  <si>
    <t xml:space="preserve">dinheiro para investimentos</t>
  </si>
  <si>
    <t xml:space="preserve">Saidas Totais</t>
  </si>
  <si>
    <t xml:space="preserve">TOTAL</t>
  </si>
  <si>
    <t xml:space="preserve">Projeto PC</t>
  </si>
  <si>
    <t xml:space="preserve">Peça</t>
  </si>
  <si>
    <t xml:space="preserve">Local da compra</t>
  </si>
  <si>
    <t xml:space="preserve">custo</t>
  </si>
  <si>
    <t xml:space="preserve">valor cheio</t>
  </si>
  <si>
    <t xml:space="preserve">valor economizado</t>
  </si>
  <si>
    <t xml:space="preserve">gabinete</t>
  </si>
  <si>
    <t xml:space="preserve">shoope (pichau)</t>
  </si>
  <si>
    <t xml:space="preserve"> placa mãe</t>
  </si>
  <si>
    <t xml:space="preserve">Terabyte</t>
  </si>
  <si>
    <t xml:space="preserve">processador </t>
  </si>
  <si>
    <t xml:space="preserve">Igor</t>
  </si>
  <si>
    <t xml:space="preserve">pc - bruto</t>
  </si>
  <si>
    <t xml:space="preserve">cooler </t>
  </si>
  <si>
    <t xml:space="preserve">amazon</t>
  </si>
  <si>
    <t xml:space="preserve">fonte </t>
  </si>
  <si>
    <t xml:space="preserve">ram</t>
  </si>
  <si>
    <t xml:space="preserve">magalu</t>
  </si>
  <si>
    <t xml:space="preserve">ssd</t>
  </si>
  <si>
    <t xml:space="preserve">mercado livre</t>
  </si>
  <si>
    <t xml:space="preserve">placa de video</t>
  </si>
  <si>
    <t xml:space="preserve">pen drive</t>
  </si>
  <si>
    <t xml:space="preserve">Monitor</t>
  </si>
  <si>
    <t xml:space="preserve">teclado</t>
  </si>
  <si>
    <t xml:space="preserve">aliespress</t>
  </si>
  <si>
    <t xml:space="preserve">ventoinhas</t>
  </si>
  <si>
    <t xml:space="preserve">pasta termica</t>
  </si>
  <si>
    <t xml:space="preserve">perifericos</t>
  </si>
  <si>
    <t xml:space="preserve">Mouse</t>
  </si>
  <si>
    <t xml:space="preserve">Mouse pad</t>
  </si>
  <si>
    <t xml:space="preserve">Investimentos</t>
  </si>
  <si>
    <t xml:space="preserve">pc</t>
  </si>
  <si>
    <t xml:space="preserve">MÊS</t>
  </si>
  <si>
    <t xml:space="preserve">Topicos</t>
  </si>
  <si>
    <t xml:space="preserve">Sub-tópicos</t>
  </si>
  <si>
    <t xml:space="preserve">Moradia</t>
  </si>
  <si>
    <t xml:space="preserve">saldo do mês anterior</t>
  </si>
  <si>
    <t xml:space="preserve">Acessórios </t>
  </si>
  <si>
    <t xml:space="preserve">Mensalidade de curso / escola</t>
  </si>
  <si>
    <t xml:space="preserve">Livros e apostilas</t>
  </si>
  <si>
    <t xml:space="preserve">Plano de saúde</t>
  </si>
  <si>
    <t xml:space="preserve">Academia / Personal trainer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</si>
</sst>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-&quot;R$ &quot;* #,##0.00_-;&quot;-R$ &quot;* #,##0.00_-;_-&quot;R$ &quot;* \-??_-;_-@_-"/>
    <numFmt numFmtId="166" formatCode="d/m/yyyy"/>
    <numFmt numFmtId="167" formatCode="[$-F800]dddd&quot;, &quot;mmmm\ dd&quot;, &quot;yyyy"/>
    <numFmt numFmtId="168" formatCode="d/mmm"/>
    <numFmt numFmtId="169" formatCode="[$R$-416]\ #,##0.00;[RED]\-[$R$-416]\ #,##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sz val="10"/>
      <name val="Arial"/>
      <family val="2"/>
    </font>
    <font>
      <sz val="12"/>
      <color theme="1"/>
      <name val="Calibri"/>
      <family val="2"/>
      <charset val="1"/>
    </font>
    <font>
      <sz val="12"/>
      <color rgb="FF00B050"/>
      <name val="Calibri"/>
      <family val="2"/>
      <charset val="1"/>
    </font>
    <font>
      <sz val="12"/>
      <color rgb="FFFFFF00"/>
      <name val="Calibri"/>
      <family val="2"/>
      <charset val="1"/>
    </font>
    <font>
      <b val="true"/>
      <i val="true"/>
      <sz val="12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1"/>
      <name val="Calibri"/>
      <family val="2"/>
      <charset val="1"/>
    </font>
    <font>
      <b val="true"/>
      <sz val="12"/>
      <color theme="0"/>
      <name val="Calibri"/>
      <family val="2"/>
      <charset val="1"/>
    </font>
    <font>
      <sz val="16"/>
      <color rgb="FFD9D9D9"/>
      <name val="Calibri"/>
      <family val="2"/>
    </font>
    <font>
      <sz val="12"/>
      <color rgb="FFD9D9D9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theme="9" tint="0.5999"/>
        <bgColor rgb="FFD9D9D9"/>
      </patternFill>
    </fill>
    <fill>
      <patternFill patternType="solid">
        <fgColor theme="7" tint="0.5999"/>
        <bgColor rgb="FFFFE28F"/>
      </patternFill>
    </fill>
    <fill>
      <patternFill patternType="solid">
        <fgColor theme="0"/>
        <bgColor rgb="FFF2F2F2"/>
      </patternFill>
    </fill>
    <fill>
      <patternFill patternType="solid">
        <fgColor theme="0" tint="-0.05"/>
        <bgColor rgb="FFEDEDED"/>
      </patternFill>
    </fill>
    <fill>
      <patternFill patternType="solid">
        <fgColor rgb="FFADD296"/>
        <bgColor rgb="FFC5E0B4"/>
      </patternFill>
    </fill>
    <fill>
      <patternFill patternType="solid">
        <fgColor rgb="FFFFE28F"/>
        <bgColor rgb="FFFFE699"/>
      </patternFill>
    </fill>
    <fill>
      <patternFill patternType="solid">
        <fgColor theme="4" tint="0.5999"/>
        <bgColor rgb="FFD6DCE5"/>
      </patternFill>
    </fill>
    <fill>
      <patternFill patternType="solid">
        <fgColor rgb="FFF9C8AD"/>
        <bgColor rgb="FFF8CBAD"/>
      </patternFill>
    </fill>
    <fill>
      <patternFill patternType="solid">
        <fgColor rgb="FFFFFF00"/>
        <bgColor rgb="FFFFD966"/>
      </patternFill>
    </fill>
    <fill>
      <patternFill patternType="solid">
        <fgColor rgb="FFB8B8B8"/>
        <bgColor rgb="FFBFBFBF"/>
      </patternFill>
    </fill>
    <fill>
      <patternFill patternType="solid">
        <fgColor theme="5" tint="0.3999"/>
        <bgColor rgb="FFF9C8AD"/>
      </patternFill>
    </fill>
    <fill>
      <patternFill patternType="solid">
        <fgColor theme="4" tint="0.7999"/>
        <bgColor rgb="FFDAE3F3"/>
      </patternFill>
    </fill>
    <fill>
      <patternFill patternType="solid">
        <fgColor theme="2" tint="-0.1"/>
        <bgColor rgb="FFD9D9D9"/>
      </patternFill>
    </fill>
    <fill>
      <patternFill patternType="solid">
        <fgColor theme="7" tint="0.7999"/>
        <bgColor rgb="FFFBE5D6"/>
      </patternFill>
    </fill>
    <fill>
      <patternFill patternType="solid">
        <fgColor theme="9" tint="0.7999"/>
        <bgColor rgb="FFE7E6E6"/>
      </patternFill>
    </fill>
    <fill>
      <patternFill patternType="solid">
        <fgColor theme="5" tint="0.5999"/>
        <bgColor rgb="FFF9C8AD"/>
      </patternFill>
    </fill>
    <fill>
      <patternFill patternType="solid">
        <fgColor theme="2"/>
        <bgColor rgb="FFEDEDED"/>
      </patternFill>
    </fill>
    <fill>
      <patternFill patternType="solid">
        <fgColor theme="3" tint="0.5999"/>
        <bgColor rgb="FFB8B8B8"/>
      </patternFill>
    </fill>
    <fill>
      <patternFill patternType="solid">
        <fgColor theme="6" tint="0.7999"/>
        <bgColor rgb="FFF2F2F2"/>
      </patternFill>
    </fill>
    <fill>
      <patternFill patternType="solid">
        <fgColor theme="5" tint="0.7999"/>
        <bgColor rgb="FFFFF2CC"/>
      </patternFill>
    </fill>
    <fill>
      <patternFill patternType="solid">
        <fgColor theme="4" tint="-0.5"/>
        <bgColor rgb="FF3363B4"/>
      </patternFill>
    </fill>
    <fill>
      <patternFill patternType="solid">
        <fgColor theme="4" tint="0.3999"/>
        <bgColor rgb="FF98B8DF"/>
      </patternFill>
    </fill>
    <fill>
      <patternFill patternType="solid">
        <fgColor theme="3" tint="0.7999"/>
        <bgColor rgb="FFD9D9D9"/>
      </patternFill>
    </fill>
    <fill>
      <patternFill patternType="solid">
        <fgColor theme="8" tint="0.7999"/>
        <bgColor rgb="FFDEEBF7"/>
      </patternFill>
    </fill>
    <fill>
      <patternFill patternType="solid">
        <fgColor theme="4" tint="-0.25"/>
        <bgColor rgb="FF3363B4"/>
      </patternFill>
    </fill>
  </fills>
  <borders count="4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5" borderId="6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6" borderId="7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6" borderId="7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5" borderId="8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5" borderId="1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7" borderId="11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7" borderId="11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5" borderId="15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8" borderId="11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8" borderId="11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9" borderId="16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9" borderId="16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5" borderId="2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11" borderId="21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1" borderId="21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3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5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6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3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14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16" borderId="26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13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2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16" borderId="3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13" borderId="2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14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16" borderId="29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13" borderId="2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16" borderId="29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13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13" borderId="3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16" borderId="3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3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14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13" borderId="3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16" borderId="31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2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5" fontId="0" fillId="15" borderId="3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14" borderId="2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28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5" fontId="0" fillId="15" borderId="29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2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30" xfId="0" applyFont="false" applyBorder="true" applyAlignment="true" applyProtection="true">
      <alignment horizontal="left" vertical="center" textRotation="0" wrapText="false" indent="1" shrinkToFit="false"/>
      <protection locked="true" hidden="false"/>
    </xf>
    <xf numFmtId="165" fontId="0" fillId="15" borderId="3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1" shrinkToFit="false"/>
      <protection locked="true" hidden="false"/>
    </xf>
    <xf numFmtId="165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3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3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15" borderId="34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1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1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13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1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10" borderId="0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5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14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14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14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9" borderId="22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19" borderId="23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19" borderId="24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5" borderId="3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6" borderId="35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6" borderId="5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6" borderId="3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5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7" borderId="36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7" borderId="29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9" borderId="36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9" borderId="29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3" borderId="36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3" borderId="37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3" borderId="28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8" borderId="36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8" borderId="37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8" borderId="28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4" borderId="36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4" borderId="29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11" borderId="36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11" borderId="29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5" borderId="1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8" borderId="38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8" borderId="39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20" borderId="27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27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3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1" borderId="3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3" borderId="28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20" borderId="8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8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29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1" borderId="29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3" borderId="3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21" borderId="34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3" borderId="3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20" borderId="19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9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31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1" borderId="31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10" borderId="2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1" fillId="22" borderId="3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2" fillId="23" borderId="28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2" fillId="23" borderId="8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2" fillId="23" borderId="29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8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15" borderId="29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28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4" borderId="28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5" borderId="8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4" borderId="8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4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3" fillId="2" borderId="28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3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19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15" borderId="31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2" fillId="10" borderId="41" xfId="17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14" fillId="26" borderId="42" xfId="17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false" applyAlignment="true" applyProtection="true">
      <alignment horizontal="left" vertical="center" textRotation="0" wrapText="false" indent="1" shrinkToFit="false"/>
      <protection locked="true" hidden="false"/>
    </xf>
    <xf numFmtId="164" fontId="0" fillId="16" borderId="2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2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16" borderId="3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15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14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5" borderId="0" xfId="0" applyFont="true" applyBorder="false" applyAlignment="true" applyProtection="true">
      <alignment horizontal="left" vertical="center" textRotation="0" wrapText="false" indent="1" shrinkToFit="false"/>
      <protection locked="true" hidden="false"/>
    </xf>
    <xf numFmtId="164" fontId="0" fillId="2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C5E0B4"/>
      <rgbColor rgb="FFE7E6E6"/>
      <rgbColor rgb="FFFFFF00"/>
      <rgbColor rgb="FFF9C8AD"/>
      <rgbColor rgb="FF98B8DF"/>
      <rgbColor rgb="FFE3AB00"/>
      <rgbColor rgb="FF61A235"/>
      <rgbColor rgb="FFFBE5D6"/>
      <rgbColor rgb="FF876600"/>
      <rgbColor rgb="FFB8B8B8"/>
      <rgbColor rgb="FF00B050"/>
      <rgbColor rgb="FFBFBFBF"/>
      <rgbColor rgb="FF767676"/>
      <rgbColor rgb="FF90A2D3"/>
      <rgbColor rgb="FFF63838"/>
      <rgbColor rgb="FFFFF2CC"/>
      <rgbColor rgb="FFDEEBF7"/>
      <rgbColor rgb="FFD9D9D9"/>
      <rgbColor rgb="FFF08C56"/>
      <rgbColor rgb="FF2E75B6"/>
      <rgbColor rgb="FFBDD7EE"/>
      <rgbColor rgb="FFF2F2F2"/>
      <rgbColor rgb="FFF8CBAD"/>
      <rgbColor rgb="FFFFD966"/>
      <rgbColor rgb="FFADD296"/>
      <rgbColor rgb="FFD0CECE"/>
      <rgbColor rgb="FFFFE28F"/>
      <rgbColor rgb="FF4B8AC5"/>
      <rgbColor rgb="FFEDEDED"/>
      <rgbColor rgb="FF6082CA"/>
      <rgbColor rgb="FFDAE3F3"/>
      <rgbColor rgb="FFE2F0D9"/>
      <rgbColor rgb="FFFFE699"/>
      <rgbColor rgb="FF9DC3E6"/>
      <rgbColor rgb="FFF4B183"/>
      <rgbColor rgb="FFADB9CA"/>
      <rgbColor rgb="FFFFD087"/>
      <rgbColor rgb="FF3363B4"/>
      <rgbColor rgb="FF66A1D8"/>
      <rgbColor rgb="FF80B761"/>
      <rgbColor rgb="FFFFC54B"/>
      <rgbColor rgb="FFE2AA00"/>
      <rgbColor rgb="FFE46B19"/>
      <rgbColor rgb="FF506993"/>
      <rgbColor rgb="FF929292"/>
      <rgbColor rgb="FFAEAEAE"/>
      <rgbColor rgb="FF639A3F"/>
      <rgbColor rgb="FFD6DCE5"/>
      <rgbColor rgb="FF8497B0"/>
      <rgbColor rgb="FFD36F2B"/>
      <rgbColor rgb="FFA4834B"/>
      <rgbColor rgb="FF1C4B7A"/>
      <rgbColor rgb="FF58585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view3D>
      <c:rotX val="30"/>
      <c:rotY val="0"/>
      <c:rAngAx val="0"/>
      <c:perspective val="30"/>
    </c:view3D>
    <c:floor>
      <c:spPr>
        <a:solidFill>
          <a:srgbClr val="D9D9D9"/>
        </a:solidFill>
        <a:ln w="0">
          <a:noFill/>
        </a:ln>
      </c:spPr>
    </c:floor>
    <c:sideWall>
      <c:spPr>
        <a:solidFill>
          <a:srgbClr val="D9D9D9"/>
        </a:solidFill>
        <a:ln w="0">
          <a:noFill/>
        </a:ln>
      </c:spPr>
    </c:sideWall>
    <c:backWall>
      <c:spPr>
        <a:solidFill>
          <a:srgbClr val="D9D9D9"/>
        </a:solidFill>
        <a:ln w="0">
          <a:noFill/>
        </a:ln>
      </c:spPr>
    </c:backWall>
    <c:plotArea>
      <c:layout>
        <c:manualLayout>
          <c:layoutTarget val="inner"/>
          <c:xMode val="edge"/>
          <c:yMode val="edge"/>
          <c:x val="0.0673989389524023"/>
          <c:y val="0.102191978802842"/>
          <c:w val="0.748187999701113"/>
          <c:h val="0.815127062507527"/>
        </c:manualLayout>
      </c:layout>
      <c:pie3DChart>
        <c:varyColors val="1"/>
        <c:ser>
          <c:idx val="0"/>
          <c:order val="0"/>
          <c:spPr>
            <a:solidFill>
              <a:srgbClr val="5B9BD5"/>
            </a:solidFill>
            <a:ln w="0">
              <a:noFill/>
            </a:ln>
          </c:spPr>
          <c:explosion val="0"/>
          <c:dPt>
            <c:idx val="0"/>
            <c:spPr>
              <a:gradFill>
                <a:gsLst>
                  <a:gs pos="0">
                    <a:srgbClr val="71A6DA"/>
                  </a:gs>
                  <a:gs pos="50000">
                    <a:srgbClr val="549ADA"/>
                  </a:gs>
                  <a:gs pos="100000">
                    <a:srgbClr val="448AC9"/>
                  </a:gs>
                </a:gsLst>
                <a:lin ang="5400000"/>
              </a:gradFill>
              <a:ln w="0">
                <a:noFill/>
              </a:ln>
            </c:spPr>
          </c:dPt>
          <c:dPt>
            <c:idx val="1"/>
            <c:spPr>
              <a:gradFill>
                <a:gsLst>
                  <a:gs pos="0">
                    <a:srgbClr val="F08C56"/>
                  </a:gs>
                  <a:gs pos="50000">
                    <a:srgbClr val="F57A27"/>
                  </a:gs>
                  <a:gs pos="100000">
                    <a:srgbClr val="E46B19"/>
                  </a:gs>
                </a:gsLst>
                <a:lin ang="5400000"/>
              </a:gradFill>
              <a:ln w="0">
                <a:noFill/>
              </a:ln>
            </c:spPr>
          </c:dPt>
          <c:dPt>
            <c:idx val="2"/>
            <c:spPr>
              <a:gradFill>
                <a:gsLst>
                  <a:gs pos="0">
                    <a:srgbClr val="AEAEAE"/>
                  </a:gs>
                  <a:gs pos="50000">
                    <a:srgbClr val="A4A4A4"/>
                  </a:gs>
                  <a:gs pos="100000">
                    <a:srgbClr val="929292"/>
                  </a:gs>
                </a:gsLst>
                <a:lin ang="5400000"/>
              </a:gradFill>
              <a:ln w="0">
                <a:noFill/>
              </a:ln>
            </c:spPr>
          </c:dPt>
          <c:dPt>
            <c:idx val="3"/>
            <c:spPr>
              <a:gradFill>
                <a:gsLst>
                  <a:gs pos="0">
                    <a:srgbClr val="FFC54B"/>
                  </a:gs>
                  <a:gs pos="50000">
                    <a:srgbClr val="FFBF00"/>
                  </a:gs>
                  <a:gs pos="100000">
                    <a:srgbClr val="E2AA00"/>
                  </a:gs>
                </a:gsLst>
                <a:lin ang="5400000"/>
              </a:gradFill>
              <a:ln w="0">
                <a:noFill/>
              </a:ln>
            </c:spPr>
          </c:dPt>
          <c:dPt>
            <c:idx val="4"/>
            <c:spPr>
              <a:gradFill>
                <a:gsLst>
                  <a:gs pos="0">
                    <a:srgbClr val="6082CA"/>
                  </a:gs>
                  <a:gs pos="50000">
                    <a:srgbClr val="3D6FC9"/>
                  </a:gs>
                  <a:gs pos="100000">
                    <a:srgbClr val="2F61BA"/>
                  </a:gs>
                </a:gsLst>
                <a:lin ang="5400000"/>
              </a:gradFill>
              <a:ln w="0">
                <a:noFill/>
              </a:ln>
            </c:spPr>
          </c:dPt>
          <c:dPt>
            <c:idx val="5"/>
            <c:spPr>
              <a:gradFill>
                <a:gsLst>
                  <a:gs pos="0">
                    <a:srgbClr val="80B761"/>
                  </a:gs>
                  <a:gs pos="50000">
                    <a:srgbClr val="6FB142"/>
                  </a:gs>
                  <a:gs pos="100000">
                    <a:srgbClr val="61A235"/>
                  </a:gs>
                </a:gsLst>
                <a:lin ang="5400000"/>
              </a:gradFill>
              <a:ln w="0">
                <a:noFill/>
              </a:ln>
            </c:spPr>
          </c:dPt>
          <c:dPt>
            <c:idx val="6"/>
            <c:spPr>
              <a:gradFill>
                <a:gsLst>
                  <a:gs pos="0">
                    <a:srgbClr val="50729E"/>
                  </a:gs>
                  <a:gs pos="50000">
                    <a:srgbClr val="205D96"/>
                  </a:gs>
                  <a:gs pos="100000">
                    <a:srgbClr val="17538A"/>
                  </a:gs>
                </a:gsLst>
                <a:lin ang="5400000"/>
              </a:gradFill>
              <a:ln w="0">
                <a:noFill/>
              </a:ln>
            </c:spPr>
          </c:dPt>
          <c:dPt>
            <c:idx val="7"/>
            <c:spPr>
              <a:solidFill>
                <a:srgbClr val="F63838"/>
              </a:solidFill>
              <a:ln w="0">
                <a:noFill/>
              </a:ln>
            </c:spPr>
          </c:dPt>
          <c:dPt>
            <c:idx val="8"/>
            <c:spPr>
              <a:gradFill>
                <a:gsLst>
                  <a:gs pos="0">
                    <a:srgbClr val="767676"/>
                  </a:gs>
                  <a:gs pos="50000">
                    <a:srgbClr val="636363"/>
                  </a:gs>
                  <a:gs pos="100000">
                    <a:srgbClr val="575757"/>
                  </a:gs>
                </a:gsLst>
                <a:lin ang="5400000"/>
              </a:gradFill>
              <a:ln w="0">
                <a:noFill/>
              </a:ln>
            </c:spPr>
          </c:dPt>
          <c:dPt>
            <c:idx val="9"/>
            <c:spPr>
              <a:gradFill>
                <a:gsLst>
                  <a:gs pos="0">
                    <a:srgbClr val="A4834B"/>
                  </a:gs>
                  <a:gs pos="50000">
                    <a:srgbClr val="997200"/>
                  </a:gs>
                  <a:gs pos="100000">
                    <a:srgbClr val="876600"/>
                  </a:gs>
                </a:gsLst>
                <a:lin ang="5400000"/>
              </a:gradFill>
              <a:ln w="0">
                <a:noFill/>
              </a:ln>
            </c:spPr>
          </c:dPt>
          <c:dPt>
            <c:idx val="10"/>
            <c:spPr>
              <a:gradFill>
                <a:gsLst>
                  <a:gs pos="0">
                    <a:srgbClr val="506088"/>
                  </a:gs>
                  <a:gs pos="50000">
                    <a:srgbClr val="21427C"/>
                  </a:gs>
                  <a:gs pos="100000">
                    <a:srgbClr val="1A3A71"/>
                  </a:gs>
                </a:gsLst>
                <a:lin ang="5400000"/>
              </a:gra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600" b="0" u="none" strike="noStrike">
                      <a:solidFill>
                        <a:schemeClr val="bg1">
                          <a:lumMod val="85000"/>
                        </a:schemeClr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sz="1600" b="0" u="none" strike="noStrike">
                      <a:solidFill>
                        <a:schemeClr val="bg1">
                          <a:lumMod val="85000"/>
                        </a:schemeClr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sz="1600" b="0" u="none" strike="noStrike">
                      <a:solidFill>
                        <a:schemeClr val="bg1">
                          <a:lumMod val="85000"/>
                        </a:schemeClr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sz="1600" b="0" u="none" strike="noStrike">
                      <a:solidFill>
                        <a:schemeClr val="bg1">
                          <a:lumMod val="85000"/>
                        </a:schemeClr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sz="1600" b="0" u="none" strike="noStrike">
                      <a:solidFill>
                        <a:schemeClr val="bg1">
                          <a:lumMod val="85000"/>
                        </a:schemeClr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sz="1600" b="0" u="none" strike="noStrike">
                      <a:solidFill>
                        <a:schemeClr val="bg1">
                          <a:lumMod val="85000"/>
                        </a:schemeClr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sz="1600" b="0" u="none" strike="noStrike">
                      <a:solidFill>
                        <a:schemeClr val="bg1">
                          <a:lumMod val="85000"/>
                        </a:schemeClr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7"/>
              <c:txPr>
                <a:bodyPr wrap="square"/>
                <a:lstStyle/>
                <a:p>
                  <a:pPr>
                    <a:defRPr sz="1600" b="0" u="none" strike="noStrike">
                      <a:solidFill>
                        <a:schemeClr val="bg1">
                          <a:lumMod val="85000"/>
                        </a:schemeClr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8"/>
              <c:txPr>
                <a:bodyPr wrap="square"/>
                <a:lstStyle/>
                <a:p>
                  <a:pPr>
                    <a:defRPr sz="1600" b="0" u="none" strike="noStrike">
                      <a:solidFill>
                        <a:schemeClr val="bg1">
                          <a:lumMod val="85000"/>
                        </a:schemeClr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9"/>
              <c:txPr>
                <a:bodyPr wrap="square"/>
                <a:lstStyle/>
                <a:p>
                  <a:pPr>
                    <a:defRPr sz="1600" b="0" u="none" strike="noStrike">
                      <a:solidFill>
                        <a:schemeClr val="bg1">
                          <a:lumMod val="85000"/>
                        </a:schemeClr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0"/>
              <c:txPr>
                <a:bodyPr wrap="square"/>
                <a:lstStyle/>
                <a:p>
                  <a:pPr>
                    <a:defRPr sz="1600" b="0" u="none" strike="noStrike">
                      <a:solidFill>
                        <a:schemeClr val="bg1">
                          <a:lumMod val="85000"/>
                        </a:schemeClr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sz="1600" b="0" u="none" strike="noStrike">
                    <a:solidFill>
                      <a:schemeClr val="bg1">
                        <a:lumMod val="85000"/>
                      </a:schemeClr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  <c:leaderLines>
              <c:spPr>
                <a:ln w="9360">
                  <a:solidFill>
                    <a:schemeClr val="lt1">
                      <a:lumMod val="95000"/>
                    </a:schemeClr>
                  </a:solidFill>
                </a:ln>
              </c:spPr>
            </c:leaderLines>
          </c:dLbls>
          <c:cat>
            <c:strRef>
              <c:f>Anual!$F$28:$F$38</c:f>
              <c:strCache>
                <c:ptCount val="11"/>
                <c:pt idx="0">
                  <c:v>Internet</c:v>
                </c:pt>
                <c:pt idx="1">
                  <c:v>Planos/assinaturas</c:v>
                </c:pt>
                <c:pt idx="2">
                  <c:v>Agua</c:v>
                </c:pt>
                <c:pt idx="3">
                  <c:v>Luz</c:v>
                </c:pt>
                <c:pt idx="4">
                  <c:v>Gasolina</c:v>
                </c:pt>
                <c:pt idx="5">
                  <c:v>Dizimos</c:v>
                </c:pt>
                <c:pt idx="6">
                  <c:v>Ofertas</c:v>
                </c:pt>
                <c:pt idx="7">
                  <c:v>Parcelas</c:v>
                </c:pt>
                <c:pt idx="8">
                  <c:v>Saúde</c:v>
                </c:pt>
                <c:pt idx="9">
                  <c:v>Investimento</c:v>
                </c:pt>
                <c:pt idx="10">
                  <c:v/>
                </c:pt>
              </c:strCache>
            </c:strRef>
          </c:cat>
          <c:val>
            <c:numRef>
              <c:f>Anual!$G$28:$G$38</c:f>
              <c:numCache>
                <c:formatCode>_-"R$ "* #,##0.00_-;"-R$ "* #,##0.00_-;_-"R$ "* \-??_-;_-@_-</c:formatCode>
                <c:ptCount val="11"/>
                <c:pt idx="0">
                  <c:v>90</c:v>
                </c:pt>
                <c:pt idx="1">
                  <c:v>397.6</c:v>
                </c:pt>
                <c:pt idx="2">
                  <c:v>0</c:v>
                </c:pt>
                <c:pt idx="3">
                  <c:v>0</c:v>
                </c:pt>
                <c:pt idx="4">
                  <c:v>541.3</c:v>
                </c:pt>
                <c:pt idx="5">
                  <c:v>1220</c:v>
                </c:pt>
                <c:pt idx="6">
                  <c:v>40</c:v>
                </c:pt>
                <c:pt idx="7">
                  <c:v>3914.36</c:v>
                </c:pt>
                <c:pt idx="8">
                  <c:v>0</c:v>
                </c:pt>
                <c:pt idx="9">
                  <c:v>6100.33</c:v>
                </c:pt>
                <c:pt idx="10">
                  <c:v>0</c:v>
                </c:pt>
              </c:numCache>
            </c:numRef>
          </c:val>
        </c:ser>
      </c:pie3DChart>
    </c:plotArea>
    <c:legend>
      <c:legendPos val="r"/>
      <c:legendEntry>
        <c:idx val="10"/>
        <c:delete val="1"/>
      </c:legendEntry>
      <c:layout>
        <c:manualLayout>
          <c:xMode val="edge"/>
          <c:yMode val="edge"/>
          <c:x val="0.817454898177254"/>
          <c:y val="0.103492200895607"/>
          <c:w val="0.15751216374633"/>
          <c:h val="0.76242346556574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200" b="0" u="none" strike="noStrike">
              <a:solidFill>
                <a:schemeClr val="bg1">
                  <a:lumMod val="85000"/>
                </a:schemeClr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gradFill>
      <a:gsLst>
        <a:gs pos="0">
          <a:srgbClr val="595959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lt1">
        <a:lumMod val="85000"/>
      </a:schemeClr>
    </cs:fontRef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16</xdr:col>
      <xdr:colOff>44280</xdr:colOff>
      <xdr:row>34</xdr:row>
      <xdr:rowOff>19080</xdr:rowOff>
    </xdr:to>
    <xdr:graphicFrame>
      <xdr:nvGraphicFramePr>
        <xdr:cNvPr id="1" name="Gráfico 1"/>
        <xdr:cNvGraphicFramePr/>
      </xdr:nvGraphicFramePr>
      <xdr:xfrm>
        <a:off x="0" y="0"/>
        <a:ext cx="9635400" cy="5977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DD7EE"/>
    <pageSetUpPr fitToPage="false"/>
  </sheetPr>
  <dimension ref="B2:P90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D90" activeCellId="0" sqref="D9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.15"/>
    <col collapsed="false" customWidth="true" hidden="false" outlineLevel="0" max="3" min="3" style="1" width="36.29"/>
    <col collapsed="false" customWidth="true" hidden="false" outlineLevel="0" max="4" min="4" style="1" width="33.57"/>
    <col collapsed="false" customWidth="true" hidden="false" outlineLevel="0" max="5" min="5" style="1" width="9.29"/>
    <col collapsed="false" customWidth="true" hidden="false" outlineLevel="0" max="6" min="6" style="1" width="13.71"/>
    <col collapsed="false" customWidth="true" hidden="false" outlineLevel="0" max="7" min="7" style="1" width="2.57"/>
    <col collapsed="false" customWidth="true" hidden="false" outlineLevel="0" max="8" min="8" style="1" width="17.86"/>
    <col collapsed="false" customWidth="true" hidden="false" outlineLevel="0" max="9" min="9" style="1" width="17.29"/>
    <col collapsed="false" customWidth="true" hidden="false" outlineLevel="0" max="10" min="10" style="1" width="11.85"/>
    <col collapsed="false" customWidth="true" hidden="false" outlineLevel="0" max="11" min="11" style="1" width="34.42"/>
    <col collapsed="false" customWidth="true" hidden="false" outlineLevel="0" max="12" min="12" style="1" width="11.43"/>
    <col collapsed="false" customWidth="true" hidden="false" outlineLevel="0" max="13" min="13" style="1" width="12"/>
    <col collapsed="false" customWidth="true" hidden="false" outlineLevel="0" max="14" min="14" style="1" width="33.57"/>
    <col collapsed="false" customWidth="true" hidden="false" outlineLevel="0" max="15" min="15" style="1" width="19"/>
    <col collapsed="false" customWidth="true" hidden="false" outlineLevel="0" max="16" min="16" style="1" width="12"/>
  </cols>
  <sheetData>
    <row r="2" customFormat="false" ht="15" hidden="false" customHeight="false" outlineLevel="0" collapsed="false">
      <c r="B2" s="2" t="s">
        <v>0</v>
      </c>
      <c r="C2" s="3" t="s">
        <v>1</v>
      </c>
      <c r="D2" s="4" t="s">
        <v>2</v>
      </c>
      <c r="E2" s="3"/>
      <c r="F2" s="5" t="s">
        <v>3</v>
      </c>
      <c r="H2" s="6"/>
      <c r="I2" s="6"/>
      <c r="J2" s="6"/>
      <c r="K2" s="6"/>
    </row>
    <row r="3" customFormat="false" ht="15" hidden="false" customHeight="false" outlineLevel="0" collapsed="false">
      <c r="B3" s="7" t="s">
        <v>4</v>
      </c>
      <c r="C3" s="8" t="s">
        <v>5</v>
      </c>
      <c r="D3" s="9" t="n">
        <v>1443.24</v>
      </c>
      <c r="E3" s="10" t="s">
        <v>1</v>
      </c>
      <c r="F3" s="11" t="n">
        <f aca="false">SUM(D3,D5,D6,D7,D4)</f>
        <v>2246.57</v>
      </c>
      <c r="H3" s="12"/>
      <c r="I3" s="2" t="s">
        <v>6</v>
      </c>
      <c r="K3" s="13" t="s">
        <v>7</v>
      </c>
      <c r="L3" s="14"/>
    </row>
    <row r="4" customFormat="false" ht="15" hidden="false" customHeight="false" outlineLevel="0" collapsed="false">
      <c r="B4" s="15" t="s">
        <v>8</v>
      </c>
      <c r="C4" s="16"/>
      <c r="D4" s="17" t="n">
        <f aca="false">SUM(P10:P25)</f>
        <v>103.33</v>
      </c>
      <c r="E4" s="18" t="s">
        <v>9</v>
      </c>
      <c r="F4" s="19" t="n">
        <f aca="false">SUM(F11:F32)</f>
        <v>568.02</v>
      </c>
      <c r="H4" s="1" t="s">
        <v>10</v>
      </c>
      <c r="I4" s="20" t="n">
        <f aca="true">TODAY()</f>
        <v>46242</v>
      </c>
      <c r="K4" s="13" t="s">
        <v>11</v>
      </c>
      <c r="L4" s="14"/>
    </row>
    <row r="5" customFormat="false" ht="15" hidden="false" customHeight="false" outlineLevel="0" collapsed="false">
      <c r="B5" s="21" t="s">
        <v>12</v>
      </c>
      <c r="C5" s="22"/>
      <c r="D5" s="23" t="n">
        <v>700</v>
      </c>
      <c r="E5" s="24" t="s">
        <v>13</v>
      </c>
      <c r="F5" s="25" t="n">
        <f aca="false">D4</f>
        <v>103.33</v>
      </c>
      <c r="I5" s="26" t="s">
        <v>14</v>
      </c>
      <c r="K5" s="13" t="s">
        <v>15</v>
      </c>
      <c r="L5" s="14" t="n">
        <f aca="false">SUM(P10:P25)</f>
        <v>103.33</v>
      </c>
    </row>
    <row r="6" customFormat="false" ht="15" hidden="false" customHeight="false" outlineLevel="0" collapsed="false">
      <c r="B6" s="21" t="s">
        <v>16</v>
      </c>
      <c r="C6" s="22"/>
      <c r="D6" s="23"/>
      <c r="E6" s="27" t="s">
        <v>17</v>
      </c>
      <c r="F6" s="28" t="n">
        <f aca="false">SUM(K11:K22)</f>
        <v>337</v>
      </c>
      <c r="I6" s="29" t="n">
        <v>46026</v>
      </c>
      <c r="K6" s="30" t="s">
        <v>18</v>
      </c>
      <c r="L6" s="31"/>
    </row>
    <row r="7" customFormat="false" ht="15" hidden="false" customHeight="false" outlineLevel="0" collapsed="false">
      <c r="B7" s="32"/>
      <c r="C7" s="33"/>
      <c r="D7" s="34"/>
      <c r="E7" s="35" t="s">
        <v>19</v>
      </c>
      <c r="F7" s="36" t="n">
        <f aca="false">F3-F4-F6</f>
        <v>1341.55</v>
      </c>
    </row>
    <row r="9" customFormat="false" ht="15" hidden="false" customHeight="false" outlineLevel="0" collapsed="false">
      <c r="B9" s="37" t="s">
        <v>20</v>
      </c>
      <c r="C9" s="37"/>
      <c r="D9" s="37"/>
      <c r="E9" s="37"/>
      <c r="F9" s="37"/>
      <c r="H9" s="38" t="s">
        <v>21</v>
      </c>
      <c r="I9" s="38"/>
      <c r="J9" s="38"/>
      <c r="K9" s="38"/>
      <c r="M9" s="39" t="s">
        <v>22</v>
      </c>
      <c r="N9" s="40" t="s">
        <v>23</v>
      </c>
      <c r="O9" s="41" t="s">
        <v>24</v>
      </c>
      <c r="P9" s="42" t="s">
        <v>25</v>
      </c>
    </row>
    <row r="10" customFormat="false" ht="15" hidden="false" customHeight="false" outlineLevel="0" collapsed="false">
      <c r="B10" s="5" t="s">
        <v>6</v>
      </c>
      <c r="C10" s="5" t="s">
        <v>26</v>
      </c>
      <c r="D10" s="5" t="s">
        <v>27</v>
      </c>
      <c r="E10" s="5" t="s">
        <v>28</v>
      </c>
      <c r="F10" s="5" t="s">
        <v>2</v>
      </c>
      <c r="H10" s="5" t="s">
        <v>6</v>
      </c>
      <c r="I10" s="5" t="s">
        <v>29</v>
      </c>
      <c r="J10" s="5" t="s">
        <v>27</v>
      </c>
      <c r="K10" s="5" t="s">
        <v>2</v>
      </c>
      <c r="M10" s="43" t="s">
        <v>30</v>
      </c>
      <c r="N10" s="44" t="n">
        <v>46044</v>
      </c>
      <c r="O10" s="45" t="s">
        <v>31</v>
      </c>
      <c r="P10" s="46" t="n">
        <v>50</v>
      </c>
    </row>
    <row r="11" customFormat="false" ht="15" hidden="false" customHeight="false" outlineLevel="0" collapsed="false">
      <c r="B11" s="47" t="n">
        <v>46026</v>
      </c>
      <c r="C11" s="48" t="s">
        <v>32</v>
      </c>
      <c r="D11" s="48" t="s">
        <v>33</v>
      </c>
      <c r="E11" s="48" t="s">
        <v>34</v>
      </c>
      <c r="F11" s="49" t="n">
        <v>63</v>
      </c>
      <c r="H11" s="50" t="n">
        <v>46026</v>
      </c>
      <c r="I11" s="51" t="s">
        <v>35</v>
      </c>
      <c r="J11" s="51" t="s">
        <v>36</v>
      </c>
      <c r="K11" s="46" t="n">
        <v>30</v>
      </c>
      <c r="M11" s="52" t="s">
        <v>37</v>
      </c>
      <c r="N11" s="53" t="n">
        <v>46048</v>
      </c>
      <c r="O11" s="54" t="s">
        <v>38</v>
      </c>
      <c r="P11" s="55" t="n">
        <v>53.33</v>
      </c>
    </row>
    <row r="12" customFormat="false" ht="15" hidden="false" customHeight="false" outlineLevel="0" collapsed="false">
      <c r="B12" s="56" t="n">
        <v>46028</v>
      </c>
      <c r="C12" s="57" t="s">
        <v>39</v>
      </c>
      <c r="D12" s="57" t="s">
        <v>40</v>
      </c>
      <c r="E12" s="16" t="s">
        <v>41</v>
      </c>
      <c r="F12" s="58" t="n">
        <v>30</v>
      </c>
      <c r="H12" s="59" t="n">
        <v>46027</v>
      </c>
      <c r="I12" s="51" t="s">
        <v>42</v>
      </c>
      <c r="J12" s="60" t="s">
        <v>43</v>
      </c>
      <c r="K12" s="55" t="n">
        <v>147</v>
      </c>
      <c r="M12" s="52"/>
      <c r="N12" s="53"/>
      <c r="O12" s="54"/>
      <c r="P12" s="55"/>
    </row>
    <row r="13" customFormat="false" ht="15" hidden="false" customHeight="false" outlineLevel="0" collapsed="false">
      <c r="B13" s="56" t="n">
        <v>46029</v>
      </c>
      <c r="C13" s="57" t="s">
        <v>32</v>
      </c>
      <c r="D13" s="57" t="s">
        <v>44</v>
      </c>
      <c r="E13" s="16" t="s">
        <v>45</v>
      </c>
      <c r="F13" s="58" t="n">
        <v>349</v>
      </c>
      <c r="H13" s="59" t="n">
        <v>46034</v>
      </c>
      <c r="I13" s="51" t="s">
        <v>35</v>
      </c>
      <c r="J13" s="60" t="s">
        <v>46</v>
      </c>
      <c r="K13" s="55" t="n">
        <v>30</v>
      </c>
      <c r="M13" s="52"/>
      <c r="N13" s="53"/>
      <c r="O13" s="54"/>
      <c r="P13" s="55"/>
    </row>
    <row r="14" customFormat="false" ht="15" hidden="false" customHeight="false" outlineLevel="0" collapsed="false">
      <c r="B14" s="56" t="n">
        <v>46029</v>
      </c>
      <c r="C14" s="57" t="s">
        <v>39</v>
      </c>
      <c r="D14" s="57" t="s">
        <v>47</v>
      </c>
      <c r="E14" s="16" t="s">
        <v>48</v>
      </c>
      <c r="F14" s="58" t="n">
        <v>42</v>
      </c>
      <c r="H14" s="59" t="n">
        <v>46032</v>
      </c>
      <c r="I14" s="51" t="s">
        <v>49</v>
      </c>
      <c r="J14" s="60"/>
      <c r="K14" s="55" t="n">
        <v>30</v>
      </c>
      <c r="M14" s="52"/>
      <c r="N14" s="53"/>
      <c r="O14" s="54"/>
      <c r="P14" s="55"/>
    </row>
    <row r="15" customFormat="false" ht="15" hidden="false" customHeight="false" outlineLevel="0" collapsed="false">
      <c r="B15" s="56" t="n">
        <v>46031</v>
      </c>
      <c r="C15" s="57" t="s">
        <v>50</v>
      </c>
      <c r="D15" s="57" t="s">
        <v>51</v>
      </c>
      <c r="E15" s="16" t="s">
        <v>52</v>
      </c>
      <c r="F15" s="58" t="n">
        <v>23.69</v>
      </c>
      <c r="H15" s="59" t="n">
        <v>46035</v>
      </c>
      <c r="I15" s="51" t="s">
        <v>42</v>
      </c>
      <c r="J15" s="60" t="s">
        <v>53</v>
      </c>
      <c r="K15" s="55" t="n">
        <v>70</v>
      </c>
      <c r="M15" s="52"/>
      <c r="N15" s="53"/>
      <c r="O15" s="54"/>
      <c r="P15" s="55"/>
    </row>
    <row r="16" customFormat="false" ht="15" hidden="false" customHeight="false" outlineLevel="0" collapsed="false">
      <c r="B16" s="56" t="n">
        <v>46036</v>
      </c>
      <c r="C16" s="57" t="s">
        <v>54</v>
      </c>
      <c r="D16" s="57" t="s">
        <v>55</v>
      </c>
      <c r="E16" s="16" t="s">
        <v>46</v>
      </c>
      <c r="F16" s="58" t="n">
        <v>24</v>
      </c>
      <c r="H16" s="59" t="n">
        <v>46038</v>
      </c>
      <c r="I16" s="51" t="s">
        <v>35</v>
      </c>
      <c r="J16" s="60" t="s">
        <v>56</v>
      </c>
      <c r="K16" s="55" t="n">
        <v>30</v>
      </c>
      <c r="M16" s="52"/>
      <c r="N16" s="53"/>
      <c r="O16" s="54"/>
      <c r="P16" s="55"/>
    </row>
    <row r="17" customFormat="false" ht="15" hidden="false" customHeight="false" outlineLevel="0" collapsed="false">
      <c r="B17" s="56" t="n">
        <v>46040</v>
      </c>
      <c r="C17" s="57" t="s">
        <v>32</v>
      </c>
      <c r="D17" s="57" t="s">
        <v>57</v>
      </c>
      <c r="E17" s="16" t="s">
        <v>58</v>
      </c>
      <c r="F17" s="58" t="n">
        <v>10</v>
      </c>
      <c r="H17" s="59"/>
      <c r="I17" s="51"/>
      <c r="J17" s="60"/>
      <c r="K17" s="55"/>
      <c r="M17" s="52"/>
      <c r="N17" s="53"/>
      <c r="O17" s="54"/>
      <c r="P17" s="55"/>
    </row>
    <row r="18" customFormat="false" ht="15" hidden="false" customHeight="false" outlineLevel="0" collapsed="false">
      <c r="B18" s="56" t="n">
        <v>46045</v>
      </c>
      <c r="C18" s="57" t="s">
        <v>32</v>
      </c>
      <c r="D18" s="57" t="s">
        <v>59</v>
      </c>
      <c r="E18" s="16" t="s">
        <v>60</v>
      </c>
      <c r="F18" s="58" t="n">
        <v>20.95</v>
      </c>
      <c r="H18" s="59"/>
      <c r="I18" s="51"/>
      <c r="J18" s="60"/>
      <c r="K18" s="55"/>
      <c r="M18" s="52"/>
      <c r="N18" s="53"/>
      <c r="O18" s="54"/>
      <c r="P18" s="55"/>
    </row>
    <row r="19" customFormat="false" ht="15" hidden="false" customHeight="false" outlineLevel="0" collapsed="false">
      <c r="B19" s="56" t="n">
        <v>46047</v>
      </c>
      <c r="C19" s="57" t="s">
        <v>61</v>
      </c>
      <c r="D19" s="57" t="s">
        <v>62</v>
      </c>
      <c r="E19" s="16" t="s">
        <v>63</v>
      </c>
      <c r="F19" s="58" t="n">
        <v>5.38</v>
      </c>
      <c r="H19" s="59"/>
      <c r="I19" s="51"/>
      <c r="J19" s="60"/>
      <c r="K19" s="55"/>
      <c r="M19" s="52"/>
      <c r="N19" s="53"/>
      <c r="O19" s="54"/>
      <c r="P19" s="55"/>
    </row>
    <row r="20" customFormat="false" ht="15" hidden="false" customHeight="false" outlineLevel="0" collapsed="false">
      <c r="B20" s="56"/>
      <c r="C20" s="57"/>
      <c r="D20" s="57"/>
      <c r="E20" s="16"/>
      <c r="F20" s="58"/>
      <c r="H20" s="59"/>
      <c r="I20" s="51"/>
      <c r="J20" s="60"/>
      <c r="K20" s="55"/>
      <c r="M20" s="52"/>
      <c r="N20" s="53"/>
      <c r="O20" s="54"/>
      <c r="P20" s="55"/>
    </row>
    <row r="21" customFormat="false" ht="15" hidden="false" customHeight="false" outlineLevel="0" collapsed="false">
      <c r="B21" s="56" t="n">
        <v>46141</v>
      </c>
      <c r="C21" s="57"/>
      <c r="D21" s="57"/>
      <c r="E21" s="16"/>
      <c r="F21" s="58"/>
      <c r="H21" s="59"/>
      <c r="I21" s="51"/>
      <c r="J21" s="60"/>
      <c r="K21" s="55"/>
      <c r="M21" s="52"/>
      <c r="N21" s="53"/>
      <c r="O21" s="54"/>
      <c r="P21" s="55"/>
    </row>
    <row r="22" customFormat="false" ht="15" hidden="false" customHeight="false" outlineLevel="0" collapsed="false">
      <c r="B22" s="56"/>
      <c r="C22" s="57"/>
      <c r="D22" s="57"/>
      <c r="E22" s="16"/>
      <c r="F22" s="58"/>
      <c r="H22" s="61"/>
      <c r="I22" s="62"/>
      <c r="J22" s="62"/>
      <c r="K22" s="63"/>
      <c r="M22" s="52"/>
      <c r="N22" s="53"/>
      <c r="O22" s="54"/>
      <c r="P22" s="55"/>
    </row>
    <row r="23" customFormat="false" ht="15" hidden="false" customHeight="false" outlineLevel="0" collapsed="false">
      <c r="B23" s="56"/>
      <c r="C23" s="57"/>
      <c r="D23" s="57"/>
      <c r="E23" s="16"/>
      <c r="F23" s="58"/>
      <c r="K23" s="12" t="n">
        <f aca="false">SUM(K11:K22)</f>
        <v>337</v>
      </c>
      <c r="M23" s="52"/>
      <c r="N23" s="53"/>
      <c r="O23" s="54"/>
      <c r="P23" s="55"/>
    </row>
    <row r="24" customFormat="false" ht="15" hidden="false" customHeight="false" outlineLevel="0" collapsed="false">
      <c r="B24" s="56"/>
      <c r="C24" s="57"/>
      <c r="D24" s="57"/>
      <c r="E24" s="16"/>
      <c r="F24" s="58"/>
      <c r="M24" s="52"/>
      <c r="N24" s="53"/>
      <c r="O24" s="54"/>
      <c r="P24" s="55"/>
    </row>
    <row r="25" customFormat="false" ht="15" hidden="false" customHeight="false" outlineLevel="0" collapsed="false">
      <c r="B25" s="56"/>
      <c r="C25" s="57"/>
      <c r="D25" s="57"/>
      <c r="E25" s="16"/>
      <c r="F25" s="58"/>
      <c r="M25" s="64"/>
      <c r="N25" s="65"/>
      <c r="O25" s="66"/>
      <c r="P25" s="63"/>
    </row>
    <row r="26" customFormat="false" ht="15" hidden="false" customHeight="false" outlineLevel="0" collapsed="false">
      <c r="B26" s="56"/>
      <c r="C26" s="57"/>
      <c r="D26" s="57"/>
      <c r="E26" s="16"/>
      <c r="F26" s="58"/>
    </row>
    <row r="27" customFormat="false" ht="15" hidden="false" customHeight="false" outlineLevel="0" collapsed="false">
      <c r="B27" s="56"/>
      <c r="C27" s="57"/>
      <c r="D27" s="57"/>
      <c r="E27" s="16"/>
      <c r="F27" s="58"/>
    </row>
    <row r="28" customFormat="false" ht="15" hidden="false" customHeight="false" outlineLevel="0" collapsed="false">
      <c r="B28" s="56"/>
      <c r="C28" s="57"/>
      <c r="D28" s="57"/>
      <c r="E28" s="16"/>
      <c r="F28" s="58"/>
    </row>
    <row r="29" customFormat="false" ht="15" hidden="false" customHeight="false" outlineLevel="0" collapsed="false">
      <c r="B29" s="56"/>
      <c r="C29" s="57"/>
      <c r="D29" s="57"/>
      <c r="E29" s="16"/>
      <c r="F29" s="58"/>
    </row>
    <row r="30" customFormat="false" ht="15" hidden="false" customHeight="false" outlineLevel="0" collapsed="false">
      <c r="B30" s="56"/>
      <c r="C30" s="57"/>
      <c r="D30" s="57"/>
      <c r="E30" s="16"/>
      <c r="F30" s="58"/>
    </row>
    <row r="31" customFormat="false" ht="15" hidden="false" customHeight="false" outlineLevel="0" collapsed="false">
      <c r="B31" s="56"/>
      <c r="C31" s="57"/>
      <c r="D31" s="57"/>
      <c r="E31" s="16"/>
      <c r="F31" s="58"/>
    </row>
    <row r="32" customFormat="false" ht="15" hidden="false" customHeight="false" outlineLevel="0" collapsed="false">
      <c r="B32" s="67"/>
      <c r="C32" s="33"/>
      <c r="D32" s="33"/>
      <c r="E32" s="33"/>
      <c r="F32" s="68"/>
    </row>
    <row r="35" customFormat="false" ht="15" hidden="false" customHeight="false" outlineLevel="0" collapsed="false">
      <c r="B35" s="69" t="s">
        <v>64</v>
      </c>
      <c r="C35" s="70" t="s">
        <v>65</v>
      </c>
      <c r="D35" s="71" t="n">
        <f aca="false">SUMIF($D$11:$D$32,C35,$F$11:$F$32)</f>
        <v>0</v>
      </c>
      <c r="H35" s="72" t="s">
        <v>66</v>
      </c>
      <c r="I35" s="71" t="n">
        <f aca="false">SUMIF($I$11:$I$22,H35,$K$11:$K$22)</f>
        <v>0</v>
      </c>
    </row>
    <row r="36" customFormat="false" ht="15" hidden="false" customHeight="false" outlineLevel="0" collapsed="false">
      <c r="B36" s="73" t="n">
        <f aca="false">SUM(D35:D39)</f>
        <v>0</v>
      </c>
      <c r="C36" s="74" t="s">
        <v>67</v>
      </c>
      <c r="D36" s="75" t="n">
        <f aca="false">SUMIF($D$11:$D$32,C36,$F$11:$F$32)</f>
        <v>0</v>
      </c>
      <c r="H36" s="76" t="s">
        <v>35</v>
      </c>
      <c r="I36" s="75" t="n">
        <f aca="false">SUMIF($I$11:$I$22,H36,$K$11:$K$22)</f>
        <v>90</v>
      </c>
    </row>
    <row r="37" customFormat="false" ht="15" hidden="false" customHeight="false" outlineLevel="0" collapsed="false">
      <c r="C37" s="74" t="s">
        <v>68</v>
      </c>
      <c r="D37" s="75" t="n">
        <f aca="false">SUMIF($D$11:$D$32,C37,$F$11:$F$32)</f>
        <v>0</v>
      </c>
      <c r="H37" s="76" t="s">
        <v>69</v>
      </c>
      <c r="I37" s="75" t="n">
        <f aca="false">SUMIF($I$11:$I$22,H37,$K$11:$K$22)</f>
        <v>0</v>
      </c>
    </row>
    <row r="38" customFormat="false" ht="15" hidden="false" customHeight="false" outlineLevel="0" collapsed="false">
      <c r="C38" s="74" t="s">
        <v>70</v>
      </c>
      <c r="D38" s="75" t="n">
        <f aca="false">SUMIF($D$11:$D$32,C38,$F$11:$F$32)</f>
        <v>0</v>
      </c>
      <c r="H38" s="76" t="s">
        <v>71</v>
      </c>
      <c r="I38" s="75" t="n">
        <f aca="false">SUMIF($I$11:$I$22,H38,$K$11:$K$22)</f>
        <v>0</v>
      </c>
    </row>
    <row r="39" customFormat="false" ht="15" hidden="false" customHeight="false" outlineLevel="0" collapsed="false">
      <c r="C39" s="77"/>
      <c r="D39" s="78" t="n">
        <f aca="false">SUMIF($D$11:$D$32,C39,$F$11:$F$32)</f>
        <v>0</v>
      </c>
      <c r="H39" s="76" t="s">
        <v>49</v>
      </c>
      <c r="I39" s="75" t="n">
        <f aca="false">SUMIF($I$11:$I$22,H39,$K$11:$K$22)</f>
        <v>30</v>
      </c>
    </row>
    <row r="40" customFormat="false" ht="15" hidden="false" customHeight="false" outlineLevel="0" collapsed="false">
      <c r="C40" s="79"/>
      <c r="D40" s="80"/>
      <c r="H40" s="76" t="s">
        <v>72</v>
      </c>
      <c r="I40" s="75" t="n">
        <f aca="false">SUMIF($I$11:$I$22,H40,$K$11:$K$22)</f>
        <v>0</v>
      </c>
    </row>
    <row r="41" customFormat="false" ht="15" hidden="false" customHeight="false" outlineLevel="0" collapsed="false">
      <c r="B41" s="69" t="s">
        <v>50</v>
      </c>
      <c r="C41" s="70" t="s">
        <v>73</v>
      </c>
      <c r="D41" s="71" t="n">
        <f aca="false">SUMIF($D$11:$D$32,C41,$F$11:$F$32)</f>
        <v>0</v>
      </c>
      <c r="H41" s="76" t="s">
        <v>74</v>
      </c>
      <c r="I41" s="75" t="n">
        <f aca="false">SUMIF($I$11:$I$22,H41,$K$11:$K$22)</f>
        <v>0</v>
      </c>
    </row>
    <row r="42" customFormat="false" ht="15" hidden="false" customHeight="false" outlineLevel="0" collapsed="false">
      <c r="B42" s="73" t="n">
        <f aca="false">SUBTOTAL(9,D41:D48)</f>
        <v>23.69</v>
      </c>
      <c r="C42" s="74" t="s">
        <v>75</v>
      </c>
      <c r="D42" s="75" t="n">
        <f aca="false">SUMIF($D$11:$D$32,C42,$F$11:$F$32)</f>
        <v>0</v>
      </c>
      <c r="H42" s="76" t="s">
        <v>42</v>
      </c>
      <c r="I42" s="75" t="n">
        <f aca="false">SUMIF($I$11:$I$22,H42,$K$11:$K$22)</f>
        <v>217</v>
      </c>
    </row>
    <row r="43" customFormat="false" ht="15" hidden="false" customHeight="false" outlineLevel="0" collapsed="false">
      <c r="C43" s="74" t="s">
        <v>76</v>
      </c>
      <c r="D43" s="75" t="n">
        <f aca="false">SUMIF($D$11:$D$32,C43,$F$11:$F$32)</f>
        <v>0</v>
      </c>
      <c r="H43" s="76" t="s">
        <v>77</v>
      </c>
      <c r="I43" s="75" t="n">
        <f aca="false">SUMIF($I$11:$I$22,H43,$K$11:$K$22)</f>
        <v>0</v>
      </c>
    </row>
    <row r="44" customFormat="false" ht="15" hidden="false" customHeight="false" outlineLevel="0" collapsed="false">
      <c r="C44" s="74" t="s">
        <v>78</v>
      </c>
      <c r="D44" s="75" t="n">
        <f aca="false">SUMIF($D$11:$D$32,C44,$F$11:$F$32)</f>
        <v>0</v>
      </c>
      <c r="H44" s="76" t="s">
        <v>79</v>
      </c>
      <c r="I44" s="75" t="n">
        <f aca="false">SUMIF($I$11:$I$22,H44,$K$11:$K$22)</f>
        <v>0</v>
      </c>
    </row>
    <row r="45" customFormat="false" ht="15" hidden="false" customHeight="false" outlineLevel="0" collapsed="false">
      <c r="C45" s="74" t="s">
        <v>80</v>
      </c>
      <c r="D45" s="75" t="n">
        <f aca="false">SUMIF($D$11:$D$32,C45,$F$11:$F$32)</f>
        <v>0</v>
      </c>
      <c r="H45" s="81"/>
      <c r="I45" s="78" t="n">
        <f aca="false">SUMIF($I$11:$I$22,H45,$K$11:$K$22)</f>
        <v>0</v>
      </c>
    </row>
    <row r="46" customFormat="false" ht="15" hidden="false" customHeight="false" outlineLevel="0" collapsed="false">
      <c r="C46" s="74" t="s">
        <v>51</v>
      </c>
      <c r="D46" s="75" t="n">
        <f aca="false">SUMIF($D$11:$D$32,C46,$F$11:$F$32)</f>
        <v>23.69</v>
      </c>
    </row>
    <row r="47" customFormat="false" ht="15" hidden="false" customHeight="false" outlineLevel="0" collapsed="false">
      <c r="C47" s="82"/>
      <c r="D47" s="83" t="n">
        <f aca="false">SUMIF($D$11:$D$32,C47,$F$11:$F$32)</f>
        <v>0</v>
      </c>
    </row>
    <row r="48" customFormat="false" ht="15" hidden="false" customHeight="false" outlineLevel="0" collapsed="false">
      <c r="C48" s="77"/>
      <c r="D48" s="78" t="n">
        <f aca="false">SUMIF($D$11:$D$32,C48,$F$11:$F$32)</f>
        <v>0</v>
      </c>
    </row>
    <row r="49" customFormat="false" ht="15" hidden="false" customHeight="false" outlineLevel="0" collapsed="false">
      <c r="D49" s="80"/>
    </row>
    <row r="50" customFormat="false" ht="15" hidden="false" customHeight="false" outlineLevel="0" collapsed="false">
      <c r="B50" s="69" t="s">
        <v>32</v>
      </c>
      <c r="C50" s="70" t="s">
        <v>81</v>
      </c>
      <c r="D50" s="71" t="n">
        <f aca="false">SUMIF($D$11:$D$32,C50,$F$11:$F$32)</f>
        <v>0</v>
      </c>
    </row>
    <row r="51" customFormat="false" ht="15" hidden="false" customHeight="false" outlineLevel="0" collapsed="false">
      <c r="B51" s="73" t="n">
        <f aca="false">SUM(D50:D56)</f>
        <v>93.95</v>
      </c>
      <c r="C51" s="74" t="s">
        <v>57</v>
      </c>
      <c r="D51" s="75" t="n">
        <f aca="false">SUMIF($D$11:$D$32,C51,$F$11:$F$32)</f>
        <v>10</v>
      </c>
    </row>
    <row r="52" customFormat="false" ht="15" hidden="false" customHeight="false" outlineLevel="0" collapsed="false">
      <c r="C52" s="74" t="s">
        <v>82</v>
      </c>
      <c r="D52" s="75" t="n">
        <f aca="false">SUMIF($D$11:$D$32,C52,$F$11:$F$32)</f>
        <v>0</v>
      </c>
    </row>
    <row r="53" customFormat="false" ht="15" hidden="false" customHeight="false" outlineLevel="0" collapsed="false">
      <c r="C53" s="74" t="s">
        <v>33</v>
      </c>
      <c r="D53" s="75" t="n">
        <f aca="false">SUMIF($D$11:$D$32,C53,$F$11:$F$32)</f>
        <v>63</v>
      </c>
    </row>
    <row r="54" customFormat="false" ht="15" hidden="false" customHeight="false" outlineLevel="0" collapsed="false">
      <c r="C54" s="74" t="s">
        <v>83</v>
      </c>
      <c r="D54" s="75" t="n">
        <f aca="false">SUMIF($D$11:$D$32,C54,$F$11:$F$32)</f>
        <v>0</v>
      </c>
    </row>
    <row r="55" customFormat="false" ht="15" hidden="false" customHeight="false" outlineLevel="0" collapsed="false">
      <c r="C55" s="74" t="s">
        <v>59</v>
      </c>
      <c r="D55" s="75" t="n">
        <f aca="false">SUMIF($D$11:$D$32,C55,$F$11:$F$32)</f>
        <v>20.95</v>
      </c>
    </row>
    <row r="56" customFormat="false" ht="15" hidden="false" customHeight="false" outlineLevel="0" collapsed="false">
      <c r="C56" s="64"/>
      <c r="D56" s="78" t="n">
        <f aca="false">SUMIF($D$11:$D$32,C56,$F$11:$F$32)</f>
        <v>0</v>
      </c>
    </row>
    <row r="57" customFormat="false" ht="15" hidden="false" customHeight="false" outlineLevel="0" collapsed="false">
      <c r="D57" s="80"/>
    </row>
    <row r="58" customFormat="false" ht="15" hidden="false" customHeight="false" outlineLevel="0" collapsed="false">
      <c r="B58" s="69" t="s">
        <v>39</v>
      </c>
      <c r="C58" s="70" t="s">
        <v>84</v>
      </c>
      <c r="D58" s="71" t="n">
        <f aca="false">SUMIF($D$11:$D$32,C58,$F$11:$F$32)</f>
        <v>0</v>
      </c>
    </row>
    <row r="59" customFormat="false" ht="15" hidden="false" customHeight="false" outlineLevel="0" collapsed="false">
      <c r="B59" s="73" t="n">
        <f aca="false">SUM(D58:D64)</f>
        <v>72</v>
      </c>
      <c r="C59" s="74" t="s">
        <v>40</v>
      </c>
      <c r="D59" s="75" t="n">
        <f aca="false">SUMIF($D$11:$D$32,C59,$F$11:$F$32)</f>
        <v>30</v>
      </c>
    </row>
    <row r="60" customFormat="false" ht="15" hidden="false" customHeight="false" outlineLevel="0" collapsed="false">
      <c r="C60" s="74" t="s">
        <v>85</v>
      </c>
      <c r="D60" s="75" t="n">
        <f aca="false">SUMIF($D$11:$D$32,C60,$F$11:$F$32)</f>
        <v>0</v>
      </c>
    </row>
    <row r="61" customFormat="false" ht="15" hidden="false" customHeight="false" outlineLevel="0" collapsed="false">
      <c r="C61" s="74" t="s">
        <v>86</v>
      </c>
      <c r="D61" s="75" t="n">
        <f aca="false">SUMIF($D$11:$D$32,C61,$F$11:$F$32)</f>
        <v>0</v>
      </c>
    </row>
    <row r="62" customFormat="false" ht="15" hidden="false" customHeight="false" outlineLevel="0" collapsed="false">
      <c r="C62" s="74" t="s">
        <v>47</v>
      </c>
      <c r="D62" s="75" t="n">
        <f aca="false">SUMIF($D$11:$D$32,C62,$F$11:$F$32)</f>
        <v>42</v>
      </c>
    </row>
    <row r="63" customFormat="false" ht="15" hidden="false" customHeight="false" outlineLevel="0" collapsed="false">
      <c r="C63" s="74" t="s">
        <v>87</v>
      </c>
      <c r="D63" s="75" t="n">
        <f aca="false">SUMIF($D$11:$D$32,C63,$F$11:$F$32)</f>
        <v>0</v>
      </c>
    </row>
    <row r="64" customFormat="false" ht="15" hidden="false" customHeight="false" outlineLevel="0" collapsed="false">
      <c r="C64" s="64"/>
      <c r="D64" s="78" t="n">
        <f aca="false">SUMIF($D$11:$D$32,C64,$F$11:$F$32)</f>
        <v>0</v>
      </c>
    </row>
    <row r="65" customFormat="false" ht="15" hidden="false" customHeight="false" outlineLevel="0" collapsed="false">
      <c r="D65" s="80"/>
    </row>
    <row r="66" customFormat="false" ht="15" hidden="false" customHeight="false" outlineLevel="0" collapsed="false">
      <c r="B66" s="69" t="s">
        <v>88</v>
      </c>
      <c r="C66" s="70" t="s">
        <v>89</v>
      </c>
      <c r="D66" s="71" t="n">
        <f aca="false">SUMIF($D$11:$D$32,C66,$F$11:$F$32)</f>
        <v>0</v>
      </c>
    </row>
    <row r="67" customFormat="false" ht="15" hidden="false" customHeight="false" outlineLevel="0" collapsed="false">
      <c r="B67" s="73" t="n">
        <f aca="false">SUM(D66:D72)</f>
        <v>0</v>
      </c>
      <c r="C67" s="74" t="s">
        <v>90</v>
      </c>
      <c r="D67" s="75" t="n">
        <f aca="false">SUMIF($D$11:$D$32,C67,$F$11:$F$32)</f>
        <v>0</v>
      </c>
    </row>
    <row r="68" customFormat="false" ht="15" hidden="false" customHeight="false" outlineLevel="0" collapsed="false">
      <c r="C68" s="74" t="s">
        <v>91</v>
      </c>
      <c r="D68" s="75" t="n">
        <f aca="false">SUMIF($D$11:$D$32,C68,$F$11:$F$32)</f>
        <v>0</v>
      </c>
    </row>
    <row r="69" customFormat="false" ht="15" hidden="false" customHeight="false" outlineLevel="0" collapsed="false">
      <c r="C69" s="74" t="s">
        <v>92</v>
      </c>
      <c r="D69" s="75" t="n">
        <f aca="false">SUMIF($D$11:$D$32,C69,$F$11:$F$32)</f>
        <v>0</v>
      </c>
    </row>
    <row r="70" customFormat="false" ht="15" hidden="false" customHeight="false" outlineLevel="0" collapsed="false">
      <c r="C70" s="74" t="s">
        <v>93</v>
      </c>
      <c r="D70" s="75" t="n">
        <f aca="false">SUMIF($D$11:$D$32,C70,$F$11:$F$32)</f>
        <v>0</v>
      </c>
    </row>
    <row r="71" customFormat="false" ht="15" hidden="false" customHeight="false" outlineLevel="0" collapsed="false">
      <c r="C71" s="74" t="s">
        <v>94</v>
      </c>
      <c r="D71" s="75" t="n">
        <f aca="false">SUMIF($D$11:$D$32,C71,$F$11:$F$32)</f>
        <v>0</v>
      </c>
    </row>
    <row r="72" customFormat="false" ht="15" hidden="false" customHeight="false" outlineLevel="0" collapsed="false">
      <c r="C72" s="64"/>
      <c r="D72" s="78" t="n">
        <f aca="false">SUMIF($D$11:$D$32,C72,$F$11:$F$32)</f>
        <v>0</v>
      </c>
    </row>
    <row r="73" customFormat="false" ht="15" hidden="false" customHeight="false" outlineLevel="0" collapsed="false">
      <c r="D73" s="80"/>
    </row>
    <row r="74" customFormat="false" ht="15" hidden="false" customHeight="false" outlineLevel="0" collapsed="false">
      <c r="B74" s="69" t="s">
        <v>77</v>
      </c>
      <c r="C74" s="70" t="s">
        <v>95</v>
      </c>
      <c r="D74" s="71" t="n">
        <f aca="false">SUMIF($D$11:$D$32,C74,$F$11:$F$32)</f>
        <v>0</v>
      </c>
    </row>
    <row r="75" customFormat="false" ht="15" hidden="false" customHeight="false" outlineLevel="0" collapsed="false">
      <c r="B75" s="73" t="n">
        <f aca="false">SUM(D74:D80)</f>
        <v>0</v>
      </c>
      <c r="C75" s="74" t="s">
        <v>96</v>
      </c>
      <c r="D75" s="75" t="n">
        <f aca="false">SUMIF($D$11:$D$32,C75,$F$11:$F$32)</f>
        <v>0</v>
      </c>
    </row>
    <row r="76" customFormat="false" ht="15" hidden="false" customHeight="false" outlineLevel="0" collapsed="false">
      <c r="C76" s="74" t="s">
        <v>97</v>
      </c>
      <c r="D76" s="75" t="n">
        <f aca="false">SUMIF($D$11:$D$32,C76,$F$11:$F$32)</f>
        <v>0</v>
      </c>
    </row>
    <row r="77" customFormat="false" ht="15" hidden="false" customHeight="false" outlineLevel="0" collapsed="false">
      <c r="C77" s="74" t="s">
        <v>98</v>
      </c>
      <c r="D77" s="75" t="n">
        <f aca="false">SUMIF($D$11:$D$32,C77,$F$11:$F$32)</f>
        <v>0</v>
      </c>
    </row>
    <row r="78" customFormat="false" ht="15" hidden="false" customHeight="false" outlineLevel="0" collapsed="false">
      <c r="C78" s="74"/>
      <c r="D78" s="75" t="n">
        <f aca="false">SUMIF($D$11:$D$32,C78,$F$11:$F$32)</f>
        <v>0</v>
      </c>
    </row>
    <row r="79" customFormat="false" ht="15" hidden="false" customHeight="false" outlineLevel="0" collapsed="false">
      <c r="C79" s="74"/>
      <c r="D79" s="75" t="n">
        <f aca="false">SUMIF($D$11:$D$32,C79,$F$11:$F$32)</f>
        <v>0</v>
      </c>
    </row>
    <row r="80" customFormat="false" ht="15" hidden="false" customHeight="false" outlineLevel="0" collapsed="false">
      <c r="C80" s="64"/>
      <c r="D80" s="78" t="n">
        <f aca="false">SUMIF($D$11:$D$32,C80,$F$11:$F$32)</f>
        <v>0</v>
      </c>
    </row>
    <row r="81" customFormat="false" ht="15" hidden="false" customHeight="false" outlineLevel="0" collapsed="false">
      <c r="D81" s="80"/>
    </row>
    <row r="82" customFormat="false" ht="15" hidden="false" customHeight="false" outlineLevel="0" collapsed="false">
      <c r="B82" s="69" t="s">
        <v>99</v>
      </c>
      <c r="C82" s="70" t="s">
        <v>100</v>
      </c>
      <c r="D82" s="71" t="n">
        <f aca="false">SUMIF($D$11:$D$32,C82,$F$11:$F$32)</f>
        <v>0</v>
      </c>
    </row>
    <row r="83" customFormat="false" ht="15" hidden="false" customHeight="false" outlineLevel="0" collapsed="false">
      <c r="B83" s="73" t="n">
        <f aca="false">SUM(D82:D88)</f>
        <v>0</v>
      </c>
      <c r="C83" s="74" t="s">
        <v>101</v>
      </c>
      <c r="D83" s="75" t="n">
        <f aca="false">SUMIF($D$11:$D$32,C83,$F$11:$F$32)</f>
        <v>0</v>
      </c>
    </row>
    <row r="84" customFormat="false" ht="15" hidden="false" customHeight="false" outlineLevel="0" collapsed="false">
      <c r="C84" s="74" t="s">
        <v>102</v>
      </c>
      <c r="D84" s="75" t="n">
        <f aca="false">SUMIF($D$11:$D$32,C84,$F$11:$F$32)</f>
        <v>0</v>
      </c>
    </row>
    <row r="85" customFormat="false" ht="15" hidden="false" customHeight="false" outlineLevel="0" collapsed="false">
      <c r="C85" s="74" t="s">
        <v>103</v>
      </c>
      <c r="D85" s="75" t="n">
        <f aca="false">SUMIF($D$11:$D$32,C85,$F$11:$F$32)</f>
        <v>0</v>
      </c>
    </row>
    <row r="86" customFormat="false" ht="15" hidden="false" customHeight="false" outlineLevel="0" collapsed="false">
      <c r="C86" s="74" t="s">
        <v>104</v>
      </c>
      <c r="D86" s="75" t="n">
        <f aca="false">SUMIF($D$11:$D$32,C86,$F$11:$F$32)</f>
        <v>0</v>
      </c>
    </row>
    <row r="87" customFormat="false" ht="15" hidden="false" customHeight="false" outlineLevel="0" collapsed="false">
      <c r="C87" s="74" t="s">
        <v>105</v>
      </c>
      <c r="D87" s="75" t="n">
        <f aca="false">SUMIF($D$11:$D$32,C87,$F$11:$F$32)</f>
        <v>0</v>
      </c>
    </row>
    <row r="88" customFormat="false" ht="15" hidden="false" customHeight="false" outlineLevel="0" collapsed="false">
      <c r="C88" s="64"/>
      <c r="D88" s="78" t="n">
        <f aca="false">SUMIF($D$11:$D$32,C88,$F$11:$F$32)</f>
        <v>0</v>
      </c>
    </row>
    <row r="90" customFormat="false" ht="15" hidden="false" customHeight="false" outlineLevel="0" collapsed="false">
      <c r="B90" s="69" t="s">
        <v>79</v>
      </c>
      <c r="C90" s="70"/>
      <c r="D90" s="71" t="n">
        <f aca="false">SUMIF(C11:C32,B90,F11:F32)</f>
        <v>0</v>
      </c>
    </row>
  </sheetData>
  <mergeCells count="3">
    <mergeCell ref="H2:K2"/>
    <mergeCell ref="B9:F9"/>
    <mergeCell ref="H9:K9"/>
  </mergeCells>
  <dataValidations count="3">
    <dataValidation allowBlank="true" errorStyle="stop" operator="between" showDropDown="false" showErrorMessage="true" showInputMessage="true" sqref="D11:D32" type="list">
      <formula1>INDIRECT(C11)</formula1>
      <formula2>0</formula2>
    </dataValidation>
    <dataValidation allowBlank="true" errorStyle="stop" operator="between" showDropDown="false" showErrorMessage="true" showInputMessage="true" sqref="I11:I22" type="list">
      <formula1>Modelo!$R$3:$R$14</formula1>
      <formula2>0</formula2>
    </dataValidation>
    <dataValidation allowBlank="true" errorStyle="stop" operator="between" showDropDown="false" showErrorMessage="true" showInputMessage="true" sqref="C11:C32" type="list">
      <formula1>Modelo!$P$3:$P$10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DD7EE"/>
    <pageSetUpPr fitToPage="false"/>
  </sheetPr>
  <dimension ref="B2:P90"/>
  <sheetViews>
    <sheetView showFormulas="false" showGridLines="false" showRowColHeaders="true" showZeros="true" rightToLeft="false" tabSelected="false" showOutlineSymbols="true" defaultGridColor="true" view="normal" topLeftCell="C1" colorId="64" zoomScale="110" zoomScaleNormal="110" zoomScalePageLayoutView="100" workbookViewId="0">
      <selection pane="topLeft" activeCell="D91" activeCellId="0" sqref="D9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.15"/>
    <col collapsed="false" customWidth="true" hidden="false" outlineLevel="0" max="3" min="3" style="1" width="41.57"/>
    <col collapsed="false" customWidth="true" hidden="false" outlineLevel="0" max="4" min="4" style="1" width="37.29"/>
    <col collapsed="false" customWidth="true" hidden="false" outlineLevel="0" max="5" min="5" style="1" width="9.29"/>
    <col collapsed="false" customWidth="true" hidden="false" outlineLevel="0" max="6" min="6" style="1" width="13.71"/>
    <col collapsed="false" customWidth="true" hidden="false" outlineLevel="0" max="7" min="7" style="1" width="2.57"/>
    <col collapsed="false" customWidth="true" hidden="false" outlineLevel="0" max="8" min="8" style="1" width="17.86"/>
    <col collapsed="false" customWidth="true" hidden="false" outlineLevel="0" max="9" min="9" style="1" width="13.71"/>
    <col collapsed="false" customWidth="true" hidden="false" outlineLevel="0" max="10" min="10" style="1" width="11.85"/>
    <col collapsed="false" customWidth="true" hidden="false" outlineLevel="0" max="11" min="11" style="1" width="34.42"/>
    <col collapsed="false" customWidth="true" hidden="false" outlineLevel="0" max="12" min="12" style="1" width="11.43"/>
    <col collapsed="false" customWidth="true" hidden="false" outlineLevel="0" max="13" min="13" style="1" width="12"/>
    <col collapsed="false" customWidth="true" hidden="false" outlineLevel="0" max="14" min="14" style="1" width="32.42"/>
    <col collapsed="false" customWidth="true" hidden="false" outlineLevel="0" max="15" min="15" style="1" width="16.43"/>
    <col collapsed="false" customWidth="true" hidden="false" outlineLevel="0" max="16" min="16" style="1" width="13.15"/>
  </cols>
  <sheetData>
    <row r="2" customFormat="false" ht="15" hidden="false" customHeight="false" outlineLevel="0" collapsed="false">
      <c r="B2" s="2" t="s">
        <v>106</v>
      </c>
      <c r="C2" s="3" t="s">
        <v>1</v>
      </c>
      <c r="D2" s="4" t="s">
        <v>2</v>
      </c>
      <c r="E2" s="3"/>
      <c r="F2" s="5" t="s">
        <v>3</v>
      </c>
      <c r="H2" s="6"/>
      <c r="I2" s="6"/>
      <c r="J2" s="6"/>
      <c r="K2" s="6"/>
    </row>
    <row r="3" customFormat="false" ht="15" hidden="false" customHeight="false" outlineLevel="0" collapsed="false">
      <c r="B3" s="7" t="s">
        <v>4</v>
      </c>
      <c r="C3" s="8"/>
      <c r="D3" s="9" t="n">
        <v>740</v>
      </c>
      <c r="E3" s="10" t="s">
        <v>1</v>
      </c>
      <c r="F3" s="11" t="n">
        <f aca="false">SUM(D3,D5,D6,D7,D4)</f>
        <v>2281.55</v>
      </c>
      <c r="I3" s="2" t="s">
        <v>6</v>
      </c>
      <c r="K3" s="13" t="s">
        <v>7</v>
      </c>
      <c r="L3" s="14"/>
    </row>
    <row r="4" customFormat="false" ht="15" hidden="false" customHeight="false" outlineLevel="0" collapsed="false">
      <c r="B4" s="15" t="s">
        <v>8</v>
      </c>
      <c r="C4" s="16"/>
      <c r="D4" s="17" t="n">
        <f aca="false">SUM(P10:P25)</f>
        <v>200</v>
      </c>
      <c r="E4" s="18" t="s">
        <v>9</v>
      </c>
      <c r="F4" s="19" t="n">
        <f aca="false">SUM(F11:F32)</f>
        <v>561.58</v>
      </c>
      <c r="I4" s="20" t="n">
        <f aca="true">TODAY()</f>
        <v>46242</v>
      </c>
      <c r="K4" s="13" t="s">
        <v>11</v>
      </c>
      <c r="L4" s="14"/>
    </row>
    <row r="5" customFormat="false" ht="15" hidden="false" customHeight="false" outlineLevel="0" collapsed="false">
      <c r="B5" s="21" t="s">
        <v>12</v>
      </c>
      <c r="C5" s="22"/>
      <c r="D5" s="23"/>
      <c r="E5" s="24" t="s">
        <v>13</v>
      </c>
      <c r="F5" s="25" t="n">
        <f aca="false">D4</f>
        <v>200</v>
      </c>
      <c r="I5" s="26" t="s">
        <v>14</v>
      </c>
      <c r="K5" s="13" t="s">
        <v>15</v>
      </c>
      <c r="L5" s="14" t="n">
        <f aca="false">SUM(P10:P25)</f>
        <v>200</v>
      </c>
    </row>
    <row r="6" customFormat="false" ht="15" hidden="false" customHeight="false" outlineLevel="0" collapsed="false">
      <c r="B6" s="21" t="s">
        <v>16</v>
      </c>
      <c r="C6" s="22"/>
      <c r="D6" s="23"/>
      <c r="E6" s="27" t="s">
        <v>17</v>
      </c>
      <c r="F6" s="28" t="n">
        <f aca="false">SUM(K11:K22)</f>
        <v>362.2</v>
      </c>
      <c r="I6" s="29" t="n">
        <v>45847</v>
      </c>
      <c r="K6" s="30" t="s">
        <v>18</v>
      </c>
      <c r="L6" s="31"/>
    </row>
    <row r="7" customFormat="false" ht="15" hidden="false" customHeight="false" outlineLevel="0" collapsed="false">
      <c r="B7" s="32" t="s">
        <v>107</v>
      </c>
      <c r="C7" s="33"/>
      <c r="D7" s="34" t="n">
        <f aca="false">Jan!F7</f>
        <v>1341.55</v>
      </c>
      <c r="E7" s="35" t="s">
        <v>19</v>
      </c>
      <c r="F7" s="36" t="n">
        <f aca="false">F3-F4-F6</f>
        <v>1357.77</v>
      </c>
    </row>
    <row r="9" customFormat="false" ht="15" hidden="false" customHeight="false" outlineLevel="0" collapsed="false">
      <c r="B9" s="37" t="s">
        <v>20</v>
      </c>
      <c r="C9" s="37"/>
      <c r="D9" s="37"/>
      <c r="E9" s="37"/>
      <c r="F9" s="37"/>
      <c r="H9" s="38" t="s">
        <v>21</v>
      </c>
      <c r="I9" s="38"/>
      <c r="J9" s="38"/>
      <c r="K9" s="38"/>
      <c r="M9" s="39" t="s">
        <v>108</v>
      </c>
      <c r="N9" s="40" t="s">
        <v>23</v>
      </c>
      <c r="O9" s="41" t="s">
        <v>24</v>
      </c>
      <c r="P9" s="42" t="s">
        <v>25</v>
      </c>
    </row>
    <row r="10" customFormat="false" ht="15" hidden="false" customHeight="false" outlineLevel="0" collapsed="false">
      <c r="B10" s="5" t="s">
        <v>6</v>
      </c>
      <c r="C10" s="5" t="s">
        <v>26</v>
      </c>
      <c r="D10" s="5" t="s">
        <v>27</v>
      </c>
      <c r="E10" s="5" t="s">
        <v>28</v>
      </c>
      <c r="F10" s="5" t="s">
        <v>2</v>
      </c>
      <c r="H10" s="5" t="s">
        <v>6</v>
      </c>
      <c r="I10" s="5" t="s">
        <v>29</v>
      </c>
      <c r="J10" s="5" t="s">
        <v>27</v>
      </c>
      <c r="K10" s="5" t="s">
        <v>2</v>
      </c>
      <c r="M10" s="43" t="s">
        <v>109</v>
      </c>
      <c r="N10" s="44" t="n">
        <v>46081</v>
      </c>
      <c r="O10" s="45" t="s">
        <v>110</v>
      </c>
      <c r="P10" s="46" t="n">
        <v>200</v>
      </c>
    </row>
    <row r="11" customFormat="false" ht="15" hidden="false" customHeight="false" outlineLevel="0" collapsed="false">
      <c r="B11" s="47" t="n">
        <v>46064</v>
      </c>
      <c r="C11" s="48" t="s">
        <v>32</v>
      </c>
      <c r="D11" s="48" t="s">
        <v>59</v>
      </c>
      <c r="E11" s="48" t="s">
        <v>111</v>
      </c>
      <c r="F11" s="49" t="n">
        <f aca="false">39+135</f>
        <v>174</v>
      </c>
      <c r="H11" s="50" t="n">
        <v>46054</v>
      </c>
      <c r="I11" s="51" t="s">
        <v>74</v>
      </c>
      <c r="J11" s="51" t="s">
        <v>112</v>
      </c>
      <c r="K11" s="46" t="n">
        <v>40</v>
      </c>
      <c r="M11" s="52"/>
      <c r="N11" s="53"/>
      <c r="O11" s="54"/>
      <c r="P11" s="55"/>
    </row>
    <row r="12" customFormat="false" ht="15" hidden="false" customHeight="false" outlineLevel="0" collapsed="false">
      <c r="B12" s="56" t="n">
        <v>46066</v>
      </c>
      <c r="C12" s="57" t="s">
        <v>39</v>
      </c>
      <c r="D12" s="57" t="s">
        <v>87</v>
      </c>
      <c r="E12" s="16" t="s">
        <v>113</v>
      </c>
      <c r="F12" s="58" t="n">
        <v>238.42</v>
      </c>
      <c r="H12" s="59" t="n">
        <v>46055</v>
      </c>
      <c r="I12" s="51" t="s">
        <v>49</v>
      </c>
      <c r="J12" s="60" t="s">
        <v>114</v>
      </c>
      <c r="K12" s="55" t="n">
        <f aca="false">25.1+31.6</f>
        <v>56.7</v>
      </c>
      <c r="M12" s="52"/>
      <c r="N12" s="53"/>
      <c r="O12" s="54"/>
      <c r="P12" s="55"/>
    </row>
    <row r="13" customFormat="false" ht="15" hidden="false" customHeight="false" outlineLevel="0" collapsed="false">
      <c r="B13" s="56" t="n">
        <v>46066</v>
      </c>
      <c r="C13" s="57" t="s">
        <v>39</v>
      </c>
      <c r="D13" s="57" t="s">
        <v>47</v>
      </c>
      <c r="E13" s="16" t="s">
        <v>115</v>
      </c>
      <c r="F13" s="58" t="n">
        <v>57.92</v>
      </c>
      <c r="H13" s="59" t="n">
        <v>46062</v>
      </c>
      <c r="I13" s="51" t="s">
        <v>42</v>
      </c>
      <c r="J13" s="60" t="s">
        <v>116</v>
      </c>
      <c r="K13" s="55" t="n">
        <v>143.5</v>
      </c>
      <c r="M13" s="52"/>
      <c r="N13" s="53"/>
      <c r="O13" s="54"/>
      <c r="P13" s="55"/>
    </row>
    <row r="14" customFormat="false" ht="15" hidden="false" customHeight="false" outlineLevel="0" collapsed="false">
      <c r="B14" s="56" t="n">
        <v>46068</v>
      </c>
      <c r="C14" s="57" t="s">
        <v>32</v>
      </c>
      <c r="D14" s="57" t="s">
        <v>59</v>
      </c>
      <c r="E14" s="16" t="s">
        <v>117</v>
      </c>
      <c r="F14" s="58" t="n">
        <f aca="false">37.14+15.1</f>
        <v>52.24</v>
      </c>
      <c r="H14" s="59" t="n">
        <v>46062</v>
      </c>
      <c r="I14" s="51" t="s">
        <v>42</v>
      </c>
      <c r="J14" s="60" t="s">
        <v>118</v>
      </c>
      <c r="K14" s="55" t="n">
        <v>70</v>
      </c>
      <c r="M14" s="52"/>
      <c r="N14" s="53"/>
      <c r="O14" s="54"/>
      <c r="P14" s="55"/>
    </row>
    <row r="15" customFormat="false" ht="15" hidden="false" customHeight="false" outlineLevel="0" collapsed="false">
      <c r="B15" s="56" t="n">
        <v>46081</v>
      </c>
      <c r="C15" s="57" t="s">
        <v>50</v>
      </c>
      <c r="D15" s="57" t="s">
        <v>51</v>
      </c>
      <c r="E15" s="16" t="s">
        <v>119</v>
      </c>
      <c r="F15" s="58" t="n">
        <v>39</v>
      </c>
      <c r="H15" s="59" t="n">
        <v>46063</v>
      </c>
      <c r="I15" s="51" t="s">
        <v>35</v>
      </c>
      <c r="J15" s="60" t="s">
        <v>120</v>
      </c>
      <c r="K15" s="55" t="n">
        <v>7</v>
      </c>
      <c r="M15" s="52"/>
      <c r="N15" s="53"/>
      <c r="O15" s="54"/>
      <c r="P15" s="55"/>
    </row>
    <row r="16" customFormat="false" ht="15" hidden="false" customHeight="false" outlineLevel="0" collapsed="false">
      <c r="B16" s="56"/>
      <c r="C16" s="57"/>
      <c r="D16" s="57"/>
      <c r="E16" s="16"/>
      <c r="F16" s="58"/>
      <c r="H16" s="59" t="n">
        <v>46064</v>
      </c>
      <c r="I16" s="51" t="s">
        <v>35</v>
      </c>
      <c r="J16" s="60" t="s">
        <v>121</v>
      </c>
      <c r="K16" s="55" t="n">
        <v>30</v>
      </c>
      <c r="M16" s="52"/>
      <c r="N16" s="53"/>
      <c r="O16" s="54"/>
      <c r="P16" s="55"/>
    </row>
    <row r="17" customFormat="false" ht="15" hidden="false" customHeight="false" outlineLevel="0" collapsed="false">
      <c r="B17" s="56"/>
      <c r="C17" s="57"/>
      <c r="D17" s="57"/>
      <c r="E17" s="16"/>
      <c r="F17" s="58"/>
      <c r="H17" s="59" t="n">
        <v>46065</v>
      </c>
      <c r="I17" s="51" t="s">
        <v>35</v>
      </c>
      <c r="J17" s="60" t="s">
        <v>46</v>
      </c>
      <c r="K17" s="55" t="n">
        <v>15</v>
      </c>
      <c r="M17" s="52"/>
      <c r="N17" s="53"/>
      <c r="O17" s="54"/>
      <c r="P17" s="55"/>
    </row>
    <row r="18" customFormat="false" ht="15" hidden="false" customHeight="false" outlineLevel="0" collapsed="false">
      <c r="B18" s="56"/>
      <c r="C18" s="57"/>
      <c r="D18" s="57"/>
      <c r="E18" s="16"/>
      <c r="F18" s="58"/>
      <c r="H18" s="59"/>
      <c r="I18" s="51"/>
      <c r="J18" s="60"/>
      <c r="K18" s="55"/>
      <c r="M18" s="52"/>
      <c r="N18" s="53"/>
      <c r="O18" s="54"/>
      <c r="P18" s="55"/>
    </row>
    <row r="19" customFormat="false" ht="15" hidden="false" customHeight="false" outlineLevel="0" collapsed="false">
      <c r="B19" s="56"/>
      <c r="C19" s="57"/>
      <c r="D19" s="57"/>
      <c r="E19" s="16"/>
      <c r="F19" s="58"/>
      <c r="H19" s="59"/>
      <c r="I19" s="51"/>
      <c r="J19" s="60"/>
      <c r="K19" s="55"/>
      <c r="M19" s="52"/>
      <c r="N19" s="53"/>
      <c r="O19" s="54"/>
      <c r="P19" s="55"/>
    </row>
    <row r="20" customFormat="false" ht="15" hidden="false" customHeight="false" outlineLevel="0" collapsed="false">
      <c r="B20" s="56"/>
      <c r="C20" s="57"/>
      <c r="D20" s="57"/>
      <c r="E20" s="16"/>
      <c r="F20" s="58"/>
      <c r="H20" s="59"/>
      <c r="I20" s="51"/>
      <c r="J20" s="60"/>
      <c r="K20" s="55"/>
      <c r="M20" s="52"/>
      <c r="N20" s="53"/>
      <c r="O20" s="54"/>
      <c r="P20" s="55"/>
    </row>
    <row r="21" customFormat="false" ht="15" hidden="false" customHeight="false" outlineLevel="0" collapsed="false">
      <c r="B21" s="56" t="n">
        <v>46141</v>
      </c>
      <c r="C21" s="57"/>
      <c r="D21" s="57"/>
      <c r="E21" s="16"/>
      <c r="F21" s="58"/>
      <c r="H21" s="59"/>
      <c r="I21" s="51"/>
      <c r="J21" s="60"/>
      <c r="K21" s="55"/>
      <c r="M21" s="52"/>
      <c r="N21" s="53"/>
      <c r="O21" s="54"/>
      <c r="P21" s="55"/>
    </row>
    <row r="22" customFormat="false" ht="15" hidden="false" customHeight="false" outlineLevel="0" collapsed="false">
      <c r="B22" s="56"/>
      <c r="C22" s="57"/>
      <c r="D22" s="57"/>
      <c r="E22" s="16"/>
      <c r="F22" s="58"/>
      <c r="H22" s="61"/>
      <c r="I22" s="62"/>
      <c r="J22" s="62"/>
      <c r="K22" s="63"/>
      <c r="M22" s="52"/>
      <c r="N22" s="53"/>
      <c r="O22" s="54"/>
      <c r="P22" s="55"/>
    </row>
    <row r="23" customFormat="false" ht="15" hidden="false" customHeight="false" outlineLevel="0" collapsed="false">
      <c r="B23" s="56"/>
      <c r="C23" s="57"/>
      <c r="D23" s="57"/>
      <c r="E23" s="16"/>
      <c r="F23" s="58"/>
      <c r="K23" s="12" t="n">
        <f aca="false">SUM(K11:K22)</f>
        <v>362.2</v>
      </c>
      <c r="M23" s="52"/>
      <c r="N23" s="53"/>
      <c r="O23" s="54"/>
      <c r="P23" s="55"/>
    </row>
    <row r="24" customFormat="false" ht="15" hidden="false" customHeight="false" outlineLevel="0" collapsed="false">
      <c r="B24" s="56"/>
      <c r="C24" s="57"/>
      <c r="D24" s="57"/>
      <c r="E24" s="16"/>
      <c r="F24" s="58"/>
      <c r="M24" s="52"/>
      <c r="N24" s="53"/>
      <c r="O24" s="54"/>
      <c r="P24" s="55"/>
    </row>
    <row r="25" customFormat="false" ht="15" hidden="false" customHeight="false" outlineLevel="0" collapsed="false">
      <c r="B25" s="56"/>
      <c r="C25" s="57"/>
      <c r="D25" s="57"/>
      <c r="E25" s="16"/>
      <c r="F25" s="58"/>
      <c r="M25" s="64"/>
      <c r="N25" s="65"/>
      <c r="O25" s="66"/>
      <c r="P25" s="63"/>
    </row>
    <row r="26" customFormat="false" ht="15" hidden="false" customHeight="false" outlineLevel="0" collapsed="false">
      <c r="B26" s="56"/>
      <c r="C26" s="57"/>
      <c r="D26" s="57"/>
      <c r="E26" s="16"/>
      <c r="F26" s="58"/>
    </row>
    <row r="27" customFormat="false" ht="15" hidden="false" customHeight="false" outlineLevel="0" collapsed="false">
      <c r="B27" s="56"/>
      <c r="C27" s="57"/>
      <c r="D27" s="57"/>
      <c r="E27" s="16"/>
      <c r="F27" s="58"/>
    </row>
    <row r="28" customFormat="false" ht="15" hidden="false" customHeight="false" outlineLevel="0" collapsed="false">
      <c r="B28" s="56"/>
      <c r="C28" s="57"/>
      <c r="D28" s="57"/>
      <c r="E28" s="16"/>
      <c r="F28" s="58"/>
    </row>
    <row r="29" customFormat="false" ht="15" hidden="false" customHeight="false" outlineLevel="0" collapsed="false">
      <c r="B29" s="56"/>
      <c r="C29" s="57"/>
      <c r="D29" s="57"/>
      <c r="E29" s="16"/>
      <c r="F29" s="58"/>
    </row>
    <row r="30" customFormat="false" ht="15" hidden="false" customHeight="false" outlineLevel="0" collapsed="false">
      <c r="B30" s="56"/>
      <c r="C30" s="57"/>
      <c r="D30" s="57"/>
      <c r="E30" s="16"/>
      <c r="F30" s="58"/>
    </row>
    <row r="31" customFormat="false" ht="15" hidden="false" customHeight="false" outlineLevel="0" collapsed="false">
      <c r="B31" s="56"/>
      <c r="C31" s="57"/>
      <c r="D31" s="57"/>
      <c r="E31" s="16"/>
      <c r="F31" s="58"/>
    </row>
    <row r="32" customFormat="false" ht="15" hidden="false" customHeight="false" outlineLevel="0" collapsed="false">
      <c r="B32" s="67"/>
      <c r="C32" s="33"/>
      <c r="D32" s="33"/>
      <c r="E32" s="33"/>
      <c r="F32" s="68"/>
    </row>
    <row r="35" customFormat="false" ht="15" hidden="false" customHeight="false" outlineLevel="0" collapsed="false">
      <c r="B35" s="69" t="s">
        <v>64</v>
      </c>
      <c r="C35" s="70" t="s">
        <v>65</v>
      </c>
      <c r="D35" s="71" t="n">
        <f aca="false">SUMIF($D$11:$D$32,C35,$F$11:$F$32)</f>
        <v>0</v>
      </c>
      <c r="H35" s="72" t="s">
        <v>66</v>
      </c>
      <c r="I35" s="71" t="n">
        <f aca="false">SUMIF($I$11:$I$22,H35,$K$11:$K$22)</f>
        <v>0</v>
      </c>
    </row>
    <row r="36" customFormat="false" ht="15" hidden="false" customHeight="false" outlineLevel="0" collapsed="false">
      <c r="B36" s="73" t="n">
        <f aca="false">SUM(D35:D39)</f>
        <v>0</v>
      </c>
      <c r="C36" s="74" t="s">
        <v>67</v>
      </c>
      <c r="D36" s="75" t="n">
        <f aca="false">SUMIF($D$11:$D$32,C36,$F$11:$F$32)</f>
        <v>0</v>
      </c>
      <c r="H36" s="76" t="s">
        <v>35</v>
      </c>
      <c r="I36" s="75" t="n">
        <f aca="false">SUMIF($I$11:$I$22,H36,$K$11:$K$22)</f>
        <v>52</v>
      </c>
    </row>
    <row r="37" customFormat="false" ht="15" hidden="false" customHeight="false" outlineLevel="0" collapsed="false">
      <c r="C37" s="74" t="s">
        <v>68</v>
      </c>
      <c r="D37" s="75" t="n">
        <f aca="false">SUMIF($D$11:$D$32,C37,$F$11:$F$32)</f>
        <v>0</v>
      </c>
      <c r="H37" s="76" t="s">
        <v>69</v>
      </c>
      <c r="I37" s="75" t="n">
        <f aca="false">SUMIF($I$11:$I$22,H37,$K$11:$K$22)</f>
        <v>0</v>
      </c>
    </row>
    <row r="38" customFormat="false" ht="15" hidden="false" customHeight="false" outlineLevel="0" collapsed="false">
      <c r="C38" s="74" t="s">
        <v>70</v>
      </c>
      <c r="D38" s="75" t="n">
        <f aca="false">SUMIF($D$11:$D$32,C38,$F$11:$F$32)</f>
        <v>0</v>
      </c>
      <c r="H38" s="76" t="s">
        <v>71</v>
      </c>
      <c r="I38" s="75" t="n">
        <f aca="false">SUMIF($I$11:$I$22,H38,$K$11:$K$22)</f>
        <v>0</v>
      </c>
    </row>
    <row r="39" customFormat="false" ht="15" hidden="false" customHeight="false" outlineLevel="0" collapsed="false">
      <c r="C39" s="77"/>
      <c r="D39" s="78" t="n">
        <f aca="false">SUMIF($D$11:$D$32,C39,$F$11:$F$32)</f>
        <v>0</v>
      </c>
      <c r="H39" s="76" t="s">
        <v>49</v>
      </c>
      <c r="I39" s="75" t="n">
        <f aca="false">SUMIF($I$11:$I$22,H39,$K$11:$K$22)</f>
        <v>56.7</v>
      </c>
    </row>
    <row r="40" customFormat="false" ht="15" hidden="false" customHeight="false" outlineLevel="0" collapsed="false">
      <c r="C40" s="79"/>
      <c r="D40" s="80"/>
      <c r="H40" s="76" t="s">
        <v>72</v>
      </c>
      <c r="I40" s="75" t="n">
        <f aca="false">SUMIF($I$11:$I$22,H40,$K$11:$K$22)</f>
        <v>0</v>
      </c>
    </row>
    <row r="41" customFormat="false" ht="15" hidden="false" customHeight="false" outlineLevel="0" collapsed="false">
      <c r="B41" s="69" t="s">
        <v>50</v>
      </c>
      <c r="C41" s="70" t="s">
        <v>73</v>
      </c>
      <c r="D41" s="71" t="n">
        <f aca="false">SUMIF($D$11:$D$32,C41,$F$11:$F$32)</f>
        <v>0</v>
      </c>
      <c r="H41" s="76" t="s">
        <v>74</v>
      </c>
      <c r="I41" s="75" t="n">
        <f aca="false">SUMIF($I$11:$I$22,H41,$K$11:$K$22)</f>
        <v>40</v>
      </c>
    </row>
    <row r="42" customFormat="false" ht="15" hidden="false" customHeight="false" outlineLevel="0" collapsed="false">
      <c r="B42" s="73" t="n">
        <f aca="false">SUBTOTAL(9,D41:D48)</f>
        <v>39</v>
      </c>
      <c r="C42" s="74" t="s">
        <v>75</v>
      </c>
      <c r="D42" s="75" t="n">
        <f aca="false">SUMIF($D$11:$D$32,C42,$F$11:$F$32)</f>
        <v>0</v>
      </c>
      <c r="H42" s="76" t="s">
        <v>42</v>
      </c>
      <c r="I42" s="75" t="n">
        <f aca="false">SUMIF($I$11:$I$22,H42,$K$11:$K$22)</f>
        <v>213.5</v>
      </c>
    </row>
    <row r="43" customFormat="false" ht="15" hidden="false" customHeight="false" outlineLevel="0" collapsed="false">
      <c r="C43" s="74" t="s">
        <v>76</v>
      </c>
      <c r="D43" s="75" t="n">
        <f aca="false">SUMIF($D$11:$D$32,C43,$F$11:$F$32)</f>
        <v>0</v>
      </c>
      <c r="H43" s="76" t="s">
        <v>77</v>
      </c>
      <c r="I43" s="75" t="n">
        <f aca="false">SUMIF($I$11:$I$22,H43,$K$11:$K$22)</f>
        <v>0</v>
      </c>
    </row>
    <row r="44" customFormat="false" ht="15" hidden="false" customHeight="false" outlineLevel="0" collapsed="false">
      <c r="C44" s="74" t="s">
        <v>78</v>
      </c>
      <c r="D44" s="75" t="n">
        <f aca="false">SUMIF($D$11:$D$32,C44,$F$11:$F$32)</f>
        <v>0</v>
      </c>
      <c r="H44" s="76" t="s">
        <v>79</v>
      </c>
      <c r="I44" s="75" t="n">
        <f aca="false">SUMIF($I$11:$I$22,H44,$K$11:$K$22)</f>
        <v>0</v>
      </c>
    </row>
    <row r="45" customFormat="false" ht="15" hidden="false" customHeight="false" outlineLevel="0" collapsed="false">
      <c r="C45" s="74" t="s">
        <v>80</v>
      </c>
      <c r="D45" s="75" t="n">
        <f aca="false">SUMIF($D$11:$D$32,C45,$F$11:$F$32)</f>
        <v>0</v>
      </c>
      <c r="H45" s="81"/>
      <c r="I45" s="78" t="n">
        <f aca="false">SUMIF($I$11:$I$22,H45,$K$11:$K$22)</f>
        <v>0</v>
      </c>
    </row>
    <row r="46" customFormat="false" ht="15" hidden="false" customHeight="false" outlineLevel="0" collapsed="false">
      <c r="C46" s="74" t="s">
        <v>51</v>
      </c>
      <c r="D46" s="75" t="n">
        <f aca="false">SUMIF($D$11:$D$32,C46,$F$11:$F$32)</f>
        <v>39</v>
      </c>
    </row>
    <row r="47" customFormat="false" ht="15" hidden="false" customHeight="false" outlineLevel="0" collapsed="false">
      <c r="C47" s="82"/>
      <c r="D47" s="83" t="n">
        <f aca="false">SUMIF($D$11:$D$32,C47,$F$11:$F$32)</f>
        <v>0</v>
      </c>
    </row>
    <row r="48" customFormat="false" ht="15" hidden="false" customHeight="false" outlineLevel="0" collapsed="false">
      <c r="C48" s="77"/>
      <c r="D48" s="78" t="n">
        <f aca="false">SUMIF($D$11:$D$32,C48,$F$11:$F$32)</f>
        <v>0</v>
      </c>
    </row>
    <row r="49" customFormat="false" ht="15" hidden="false" customHeight="false" outlineLevel="0" collapsed="false">
      <c r="D49" s="80"/>
    </row>
    <row r="50" customFormat="false" ht="15" hidden="false" customHeight="false" outlineLevel="0" collapsed="false">
      <c r="B50" s="69" t="s">
        <v>32</v>
      </c>
      <c r="C50" s="70" t="s">
        <v>81</v>
      </c>
      <c r="D50" s="71" t="n">
        <f aca="false">SUMIF($D$11:$D$32,C50,$F$11:$F$32)</f>
        <v>0</v>
      </c>
    </row>
    <row r="51" customFormat="false" ht="15" hidden="false" customHeight="false" outlineLevel="0" collapsed="false">
      <c r="B51" s="73" t="n">
        <f aca="false">SUM(D50:D56)</f>
        <v>226.24</v>
      </c>
      <c r="C51" s="74" t="s">
        <v>57</v>
      </c>
      <c r="D51" s="75" t="n">
        <f aca="false">SUMIF($D$11:$D$32,C51,$F$11:$F$32)</f>
        <v>0</v>
      </c>
    </row>
    <row r="52" customFormat="false" ht="15" hidden="false" customHeight="false" outlineLevel="0" collapsed="false">
      <c r="C52" s="74" t="s">
        <v>82</v>
      </c>
      <c r="D52" s="75" t="n">
        <f aca="false">SUMIF($D$11:$D$32,C52,$F$11:$F$32)</f>
        <v>0</v>
      </c>
    </row>
    <row r="53" customFormat="false" ht="15" hidden="false" customHeight="false" outlineLevel="0" collapsed="false">
      <c r="C53" s="74" t="s">
        <v>33</v>
      </c>
      <c r="D53" s="75" t="n">
        <f aca="false">SUMIF($D$11:$D$32,C53,$F$11:$F$32)</f>
        <v>0</v>
      </c>
    </row>
    <row r="54" customFormat="false" ht="15" hidden="false" customHeight="false" outlineLevel="0" collapsed="false">
      <c r="C54" s="74" t="s">
        <v>83</v>
      </c>
      <c r="D54" s="75" t="n">
        <f aca="false">SUMIF($D$11:$D$32,C54,$F$11:$F$32)</f>
        <v>0</v>
      </c>
    </row>
    <row r="55" customFormat="false" ht="15" hidden="false" customHeight="false" outlineLevel="0" collapsed="false">
      <c r="C55" s="74" t="s">
        <v>59</v>
      </c>
      <c r="D55" s="75" t="n">
        <f aca="false">SUMIF($D$11:$D$32,C55,$F$11:$F$32)</f>
        <v>226.24</v>
      </c>
    </row>
    <row r="56" customFormat="false" ht="15" hidden="false" customHeight="false" outlineLevel="0" collapsed="false">
      <c r="C56" s="64"/>
      <c r="D56" s="78" t="n">
        <f aca="false">SUMIF($D$11:$D$32,C56,$F$11:$F$32)</f>
        <v>0</v>
      </c>
    </row>
    <row r="57" customFormat="false" ht="15" hidden="false" customHeight="false" outlineLevel="0" collapsed="false">
      <c r="D57" s="80"/>
    </row>
    <row r="58" customFormat="false" ht="15" hidden="false" customHeight="false" outlineLevel="0" collapsed="false">
      <c r="B58" s="69" t="s">
        <v>39</v>
      </c>
      <c r="C58" s="70" t="s">
        <v>84</v>
      </c>
      <c r="D58" s="71" t="n">
        <f aca="false">SUMIF($D$11:$D$32,C58,$F$11:$F$32)</f>
        <v>0</v>
      </c>
    </row>
    <row r="59" customFormat="false" ht="15" hidden="false" customHeight="false" outlineLevel="0" collapsed="false">
      <c r="B59" s="73" t="n">
        <f aca="false">SUM(D58:D64)</f>
        <v>296.34</v>
      </c>
      <c r="C59" s="74" t="s">
        <v>40</v>
      </c>
      <c r="D59" s="75" t="n">
        <f aca="false">SUMIF($D$11:$D$32,C59,$F$11:$F$32)</f>
        <v>0</v>
      </c>
    </row>
    <row r="60" customFormat="false" ht="15" hidden="false" customHeight="false" outlineLevel="0" collapsed="false">
      <c r="C60" s="74" t="s">
        <v>85</v>
      </c>
      <c r="D60" s="75" t="n">
        <f aca="false">SUMIF($D$11:$D$32,C60,$F$11:$F$32)</f>
        <v>0</v>
      </c>
    </row>
    <row r="61" customFormat="false" ht="15" hidden="false" customHeight="false" outlineLevel="0" collapsed="false">
      <c r="C61" s="74" t="s">
        <v>86</v>
      </c>
      <c r="D61" s="75" t="n">
        <f aca="false">SUMIF($D$11:$D$32,C61,$F$11:$F$32)</f>
        <v>0</v>
      </c>
    </row>
    <row r="62" customFormat="false" ht="15" hidden="false" customHeight="false" outlineLevel="0" collapsed="false">
      <c r="C62" s="74" t="s">
        <v>47</v>
      </c>
      <c r="D62" s="75" t="n">
        <f aca="false">SUMIF($D$11:$D$32,C62,$F$11:$F$32)</f>
        <v>57.92</v>
      </c>
    </row>
    <row r="63" customFormat="false" ht="15" hidden="false" customHeight="false" outlineLevel="0" collapsed="false">
      <c r="C63" s="74" t="s">
        <v>87</v>
      </c>
      <c r="D63" s="75" t="n">
        <f aca="false">SUMIF($D$11:$D$32,C63,$F$11:$F$32)</f>
        <v>238.42</v>
      </c>
    </row>
    <row r="64" customFormat="false" ht="15" hidden="false" customHeight="false" outlineLevel="0" collapsed="false">
      <c r="C64" s="64"/>
      <c r="D64" s="78" t="n">
        <f aca="false">SUMIF($D$11:$D$32,C64,$F$11:$F$32)</f>
        <v>0</v>
      </c>
    </row>
    <row r="65" customFormat="false" ht="15" hidden="false" customHeight="false" outlineLevel="0" collapsed="false">
      <c r="D65" s="80"/>
    </row>
    <row r="66" customFormat="false" ht="15" hidden="false" customHeight="false" outlineLevel="0" collapsed="false">
      <c r="B66" s="69" t="s">
        <v>88</v>
      </c>
      <c r="C66" s="70" t="s">
        <v>89</v>
      </c>
      <c r="D66" s="71" t="n">
        <f aca="false">SUMIF($D$11:$D$32,C66,$F$11:$F$32)</f>
        <v>0</v>
      </c>
    </row>
    <row r="67" customFormat="false" ht="15" hidden="false" customHeight="false" outlineLevel="0" collapsed="false">
      <c r="B67" s="73" t="n">
        <f aca="false">SUM(D66:D72)</f>
        <v>0</v>
      </c>
      <c r="C67" s="74" t="s">
        <v>90</v>
      </c>
      <c r="D67" s="75" t="n">
        <f aca="false">SUMIF($D$11:$D$32,C67,$F$11:$F$32)</f>
        <v>0</v>
      </c>
    </row>
    <row r="68" customFormat="false" ht="15" hidden="false" customHeight="false" outlineLevel="0" collapsed="false">
      <c r="C68" s="74" t="s">
        <v>91</v>
      </c>
      <c r="D68" s="75" t="n">
        <f aca="false">SUMIF($D$11:$D$32,C68,$F$11:$F$32)</f>
        <v>0</v>
      </c>
    </row>
    <row r="69" customFormat="false" ht="15" hidden="false" customHeight="false" outlineLevel="0" collapsed="false">
      <c r="C69" s="74" t="s">
        <v>92</v>
      </c>
      <c r="D69" s="75" t="n">
        <f aca="false">SUMIF($D$11:$D$32,C69,$F$11:$F$32)</f>
        <v>0</v>
      </c>
    </row>
    <row r="70" customFormat="false" ht="15" hidden="false" customHeight="false" outlineLevel="0" collapsed="false">
      <c r="C70" s="74" t="s">
        <v>93</v>
      </c>
      <c r="D70" s="75" t="n">
        <f aca="false">SUMIF($D$11:$D$32,C70,$F$11:$F$32)</f>
        <v>0</v>
      </c>
    </row>
    <row r="71" customFormat="false" ht="15" hidden="false" customHeight="false" outlineLevel="0" collapsed="false">
      <c r="C71" s="74" t="s">
        <v>94</v>
      </c>
      <c r="D71" s="75" t="n">
        <f aca="false">SUMIF($D$11:$D$32,C71,$F$11:$F$32)</f>
        <v>0</v>
      </c>
    </row>
    <row r="72" customFormat="false" ht="15" hidden="false" customHeight="false" outlineLevel="0" collapsed="false">
      <c r="C72" s="64"/>
      <c r="D72" s="78" t="n">
        <f aca="false">SUMIF($D$11:$D$32,C72,$F$11:$F$32)</f>
        <v>0</v>
      </c>
    </row>
    <row r="73" customFormat="false" ht="15" hidden="false" customHeight="false" outlineLevel="0" collapsed="false">
      <c r="D73" s="80"/>
    </row>
    <row r="74" customFormat="false" ht="15" hidden="false" customHeight="false" outlineLevel="0" collapsed="false">
      <c r="B74" s="69" t="s">
        <v>77</v>
      </c>
      <c r="C74" s="70" t="s">
        <v>95</v>
      </c>
      <c r="D74" s="71" t="n">
        <f aca="false">SUMIF($D$11:$D$32,C74,$F$11:$F$32)</f>
        <v>0</v>
      </c>
    </row>
    <row r="75" customFormat="false" ht="15" hidden="false" customHeight="false" outlineLevel="0" collapsed="false">
      <c r="B75" s="73" t="n">
        <f aca="false">SUM(D74:D80)</f>
        <v>0</v>
      </c>
      <c r="C75" s="74" t="s">
        <v>96</v>
      </c>
      <c r="D75" s="75" t="n">
        <f aca="false">SUMIF($D$11:$D$32,C75,$F$11:$F$32)</f>
        <v>0</v>
      </c>
    </row>
    <row r="76" customFormat="false" ht="15" hidden="false" customHeight="false" outlineLevel="0" collapsed="false">
      <c r="C76" s="74" t="s">
        <v>97</v>
      </c>
      <c r="D76" s="75" t="n">
        <f aca="false">SUMIF($D$11:$D$32,C76,$F$11:$F$32)</f>
        <v>0</v>
      </c>
    </row>
    <row r="77" customFormat="false" ht="15" hidden="false" customHeight="false" outlineLevel="0" collapsed="false">
      <c r="C77" s="74" t="s">
        <v>98</v>
      </c>
      <c r="D77" s="75" t="n">
        <f aca="false">SUMIF($D$11:$D$32,C77,$F$11:$F$32)</f>
        <v>0</v>
      </c>
    </row>
    <row r="78" customFormat="false" ht="15" hidden="false" customHeight="false" outlineLevel="0" collapsed="false">
      <c r="C78" s="74"/>
      <c r="D78" s="75" t="n">
        <f aca="false">SUMIF($D$11:$D$32,C78,$F$11:$F$32)</f>
        <v>0</v>
      </c>
    </row>
    <row r="79" customFormat="false" ht="15" hidden="false" customHeight="false" outlineLevel="0" collapsed="false">
      <c r="C79" s="74"/>
      <c r="D79" s="75" t="n">
        <f aca="false">SUMIF($D$11:$D$32,C79,$F$11:$F$32)</f>
        <v>0</v>
      </c>
    </row>
    <row r="80" customFormat="false" ht="15" hidden="false" customHeight="false" outlineLevel="0" collapsed="false">
      <c r="C80" s="64"/>
      <c r="D80" s="78" t="n">
        <f aca="false">SUMIF($D$11:$D$32,C80,$F$11:$F$32)</f>
        <v>0</v>
      </c>
    </row>
    <row r="81" customFormat="false" ht="15" hidden="false" customHeight="false" outlineLevel="0" collapsed="false">
      <c r="D81" s="80"/>
    </row>
    <row r="82" customFormat="false" ht="15" hidden="false" customHeight="false" outlineLevel="0" collapsed="false">
      <c r="B82" s="69" t="s">
        <v>99</v>
      </c>
      <c r="C82" s="70" t="s">
        <v>100</v>
      </c>
      <c r="D82" s="71" t="n">
        <f aca="false">SUMIF($D$11:$D$32,C82,$F$11:$F$32)</f>
        <v>0</v>
      </c>
    </row>
    <row r="83" customFormat="false" ht="15" hidden="false" customHeight="false" outlineLevel="0" collapsed="false">
      <c r="B83" s="73" t="n">
        <f aca="false">SUM(D82:D88)</f>
        <v>0</v>
      </c>
      <c r="C83" s="74" t="s">
        <v>101</v>
      </c>
      <c r="D83" s="75" t="n">
        <f aca="false">SUMIF($D$11:$D$32,C83,$F$11:$F$32)</f>
        <v>0</v>
      </c>
    </row>
    <row r="84" customFormat="false" ht="15" hidden="false" customHeight="false" outlineLevel="0" collapsed="false">
      <c r="C84" s="74" t="s">
        <v>102</v>
      </c>
      <c r="D84" s="75" t="n">
        <f aca="false">SUMIF($D$11:$D$32,C84,$F$11:$F$32)</f>
        <v>0</v>
      </c>
    </row>
    <row r="85" customFormat="false" ht="15" hidden="false" customHeight="false" outlineLevel="0" collapsed="false">
      <c r="C85" s="74" t="s">
        <v>103</v>
      </c>
      <c r="D85" s="75" t="n">
        <f aca="false">SUMIF($D$11:$D$32,C85,$F$11:$F$32)</f>
        <v>0</v>
      </c>
    </row>
    <row r="86" customFormat="false" ht="15" hidden="false" customHeight="false" outlineLevel="0" collapsed="false">
      <c r="C86" s="74" t="s">
        <v>104</v>
      </c>
      <c r="D86" s="75" t="n">
        <f aca="false">SUMIF($D$11:$D$32,C86,$F$11:$F$32)</f>
        <v>0</v>
      </c>
    </row>
    <row r="87" customFormat="false" ht="15" hidden="false" customHeight="false" outlineLevel="0" collapsed="false">
      <c r="C87" s="74" t="s">
        <v>105</v>
      </c>
      <c r="D87" s="75" t="n">
        <f aca="false">SUMIF($D$11:$D$32,C87,$F$11:$F$32)</f>
        <v>0</v>
      </c>
    </row>
    <row r="88" customFormat="false" ht="15" hidden="false" customHeight="false" outlineLevel="0" collapsed="false">
      <c r="C88" s="64"/>
      <c r="D88" s="78" t="n">
        <f aca="false">SUMIF($D$11:$D$32,C88,$F$11:$F$32)</f>
        <v>0</v>
      </c>
    </row>
    <row r="90" customFormat="false" ht="15" hidden="false" customHeight="false" outlineLevel="0" collapsed="false">
      <c r="B90" s="69" t="s">
        <v>79</v>
      </c>
      <c r="C90" s="70"/>
      <c r="D90" s="71" t="n">
        <f aca="false">SUMIF(C11:C32,B90,F11:F32)</f>
        <v>0</v>
      </c>
    </row>
  </sheetData>
  <mergeCells count="3">
    <mergeCell ref="H2:K2"/>
    <mergeCell ref="B9:F9"/>
    <mergeCell ref="H9:K9"/>
  </mergeCells>
  <dataValidations count="3">
    <dataValidation allowBlank="true" errorStyle="stop" operator="between" showDropDown="false" showErrorMessage="true" showInputMessage="true" sqref="D11:D32" type="list">
      <formula1>INDIRECT(C11)</formula1>
      <formula2>0</formula2>
    </dataValidation>
    <dataValidation allowBlank="true" errorStyle="stop" operator="between" showDropDown="false" showErrorMessage="true" showInputMessage="true" sqref="I11:I22" type="list">
      <formula1>Modelo!$R$3:$R$14</formula1>
      <formula2>0</formula2>
    </dataValidation>
    <dataValidation allowBlank="true" errorStyle="stop" operator="between" showDropDown="false" showErrorMessage="true" showInputMessage="true" sqref="C11:C32" type="list">
      <formula1>Modelo!$P$3:$P$10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DD7EE"/>
    <pageSetUpPr fitToPage="false"/>
  </sheetPr>
  <dimension ref="B2:P90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D91" activeCellId="0" sqref="D9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.15"/>
    <col collapsed="false" customWidth="true" hidden="false" outlineLevel="0" max="3" min="3" style="1" width="41.57"/>
    <col collapsed="false" customWidth="true" hidden="false" outlineLevel="0" max="4" min="4" style="1" width="13.15"/>
    <col collapsed="false" customWidth="true" hidden="false" outlineLevel="0" max="5" min="5" style="1" width="16.84"/>
    <col collapsed="false" customWidth="true" hidden="false" outlineLevel="0" max="6" min="6" style="1" width="13.86"/>
    <col collapsed="false" customWidth="true" hidden="false" outlineLevel="0" max="7" min="7" style="1" width="2.57"/>
    <col collapsed="false" customWidth="true" hidden="false" outlineLevel="0" max="8" min="8" style="1" width="17.86"/>
    <col collapsed="false" customWidth="true" hidden="false" outlineLevel="0" max="9" min="9" style="1" width="13.71"/>
    <col collapsed="false" customWidth="true" hidden="false" outlineLevel="0" max="10" min="10" style="1" width="11.85"/>
    <col collapsed="false" customWidth="true" hidden="false" outlineLevel="0" max="11" min="11" style="1" width="34.42"/>
    <col collapsed="false" customWidth="true" hidden="false" outlineLevel="0" max="12" min="12" style="1" width="8.42"/>
    <col collapsed="false" customWidth="true" hidden="false" outlineLevel="0" max="16" min="13" style="1" width="12"/>
  </cols>
  <sheetData>
    <row r="2" customFormat="false" ht="15" hidden="false" customHeight="false" outlineLevel="0" collapsed="false">
      <c r="B2" s="2" t="s">
        <v>122</v>
      </c>
      <c r="C2" s="3" t="s">
        <v>1</v>
      </c>
      <c r="D2" s="4" t="s">
        <v>2</v>
      </c>
      <c r="E2" s="3"/>
      <c r="F2" s="5" t="s">
        <v>3</v>
      </c>
      <c r="H2" s="6"/>
      <c r="I2" s="6"/>
      <c r="J2" s="6"/>
      <c r="K2" s="6"/>
    </row>
    <row r="3" customFormat="false" ht="15" hidden="false" customHeight="false" outlineLevel="0" collapsed="false">
      <c r="B3" s="7" t="s">
        <v>4</v>
      </c>
      <c r="C3" s="8"/>
      <c r="D3" s="9" t="n">
        <v>500</v>
      </c>
      <c r="E3" s="10" t="s">
        <v>1</v>
      </c>
      <c r="F3" s="11" t="n">
        <f aca="false">SUM(D3,D5,D6,D7,D4)</f>
        <v>2080.77</v>
      </c>
      <c r="I3" s="2" t="s">
        <v>6</v>
      </c>
      <c r="K3" s="13" t="s">
        <v>7</v>
      </c>
      <c r="L3" s="14"/>
    </row>
    <row r="4" customFormat="false" ht="15" hidden="false" customHeight="false" outlineLevel="0" collapsed="false">
      <c r="B4" s="15" t="s">
        <v>8</v>
      </c>
      <c r="C4" s="16"/>
      <c r="D4" s="17" t="n">
        <f aca="false">SUM(P10:P25)</f>
        <v>0</v>
      </c>
      <c r="E4" s="18" t="s">
        <v>9</v>
      </c>
      <c r="F4" s="19" t="n">
        <f aca="false">SUM(F11:F32)</f>
        <v>1203.63</v>
      </c>
      <c r="I4" s="20" t="n">
        <f aca="true">TODAY()</f>
        <v>46242</v>
      </c>
      <c r="K4" s="13" t="s">
        <v>11</v>
      </c>
      <c r="L4" s="14"/>
    </row>
    <row r="5" customFormat="false" ht="15" hidden="false" customHeight="false" outlineLevel="0" collapsed="false">
      <c r="B5" s="21" t="s">
        <v>12</v>
      </c>
      <c r="C5" s="22"/>
      <c r="D5" s="23" t="n">
        <v>223</v>
      </c>
      <c r="E5" s="24" t="s">
        <v>13</v>
      </c>
      <c r="F5" s="25" t="n">
        <f aca="false">D4</f>
        <v>0</v>
      </c>
      <c r="I5" s="26" t="s">
        <v>14</v>
      </c>
      <c r="K5" s="13" t="s">
        <v>15</v>
      </c>
      <c r="L5" s="14" t="n">
        <f aca="false">SUM(P10:P25)</f>
        <v>0</v>
      </c>
    </row>
    <row r="6" customFormat="false" ht="15" hidden="false" customHeight="false" outlineLevel="0" collapsed="false">
      <c r="B6" s="21" t="s">
        <v>16</v>
      </c>
      <c r="C6" s="22"/>
      <c r="D6" s="23"/>
      <c r="E6" s="27" t="s">
        <v>17</v>
      </c>
      <c r="F6" s="28" t="n">
        <f aca="false">SUM(K11:K22)</f>
        <v>434.6</v>
      </c>
      <c r="I6" s="29" t="n">
        <v>45847</v>
      </c>
      <c r="K6" s="30" t="s">
        <v>18</v>
      </c>
      <c r="L6" s="31"/>
    </row>
    <row r="7" customFormat="false" ht="15" hidden="false" customHeight="false" outlineLevel="0" collapsed="false">
      <c r="B7" s="32" t="s">
        <v>107</v>
      </c>
      <c r="C7" s="33"/>
      <c r="D7" s="34" t="n">
        <f aca="false">Fev!F7</f>
        <v>1357.77</v>
      </c>
      <c r="E7" s="35" t="s">
        <v>19</v>
      </c>
      <c r="F7" s="36" t="n">
        <f aca="false">F3-(F4+F6)</f>
        <v>442.54</v>
      </c>
    </row>
    <row r="9" customFormat="false" ht="15" hidden="false" customHeight="false" outlineLevel="0" collapsed="false">
      <c r="B9" s="37" t="s">
        <v>20</v>
      </c>
      <c r="C9" s="37"/>
      <c r="D9" s="37"/>
      <c r="E9" s="37"/>
      <c r="F9" s="37"/>
      <c r="H9" s="38" t="s">
        <v>21</v>
      </c>
      <c r="I9" s="38"/>
      <c r="J9" s="38"/>
      <c r="K9" s="38"/>
      <c r="M9" s="39" t="s">
        <v>108</v>
      </c>
      <c r="N9" s="40" t="s">
        <v>23</v>
      </c>
      <c r="O9" s="41" t="s">
        <v>24</v>
      </c>
      <c r="P9" s="42" t="s">
        <v>25</v>
      </c>
    </row>
    <row r="10" customFormat="false" ht="15" hidden="false" customHeight="false" outlineLevel="0" collapsed="false">
      <c r="B10" s="5" t="s">
        <v>6</v>
      </c>
      <c r="C10" s="5" t="s">
        <v>26</v>
      </c>
      <c r="D10" s="5" t="s">
        <v>27</v>
      </c>
      <c r="E10" s="5" t="s">
        <v>28</v>
      </c>
      <c r="F10" s="5" t="s">
        <v>2</v>
      </c>
      <c r="H10" s="5" t="s">
        <v>6</v>
      </c>
      <c r="I10" s="5" t="s">
        <v>29</v>
      </c>
      <c r="J10" s="5" t="s">
        <v>27</v>
      </c>
      <c r="K10" s="5" t="s">
        <v>2</v>
      </c>
      <c r="M10" s="43"/>
      <c r="N10" s="44"/>
      <c r="O10" s="45"/>
      <c r="P10" s="46"/>
    </row>
    <row r="11" customFormat="false" ht="15" hidden="false" customHeight="false" outlineLevel="0" collapsed="false">
      <c r="B11" s="47" t="n">
        <v>46083</v>
      </c>
      <c r="C11" s="48" t="s">
        <v>88</v>
      </c>
      <c r="D11" s="48" t="s">
        <v>91</v>
      </c>
      <c r="E11" s="48" t="s">
        <v>123</v>
      </c>
      <c r="F11" s="49" t="n">
        <v>34.45</v>
      </c>
      <c r="H11" s="50" t="n">
        <v>46084</v>
      </c>
      <c r="I11" s="51" t="s">
        <v>49</v>
      </c>
      <c r="J11" s="51"/>
      <c r="K11" s="46" t="n">
        <v>55.8</v>
      </c>
      <c r="M11" s="52"/>
      <c r="N11" s="53"/>
      <c r="O11" s="54"/>
      <c r="P11" s="55"/>
    </row>
    <row r="12" customFormat="false" ht="15" hidden="false" customHeight="false" outlineLevel="0" collapsed="false">
      <c r="B12" s="56" t="n">
        <v>46087</v>
      </c>
      <c r="C12" s="57" t="s">
        <v>39</v>
      </c>
      <c r="D12" s="57" t="s">
        <v>47</v>
      </c>
      <c r="E12" s="16" t="s">
        <v>124</v>
      </c>
      <c r="F12" s="58" t="n">
        <v>210</v>
      </c>
      <c r="H12" s="59" t="n">
        <v>46088</v>
      </c>
      <c r="I12" s="51" t="s">
        <v>35</v>
      </c>
      <c r="J12" s="60" t="s">
        <v>120</v>
      </c>
      <c r="K12" s="55" t="n">
        <v>6.8</v>
      </c>
      <c r="M12" s="52"/>
      <c r="N12" s="53"/>
      <c r="O12" s="54"/>
      <c r="P12" s="55"/>
    </row>
    <row r="13" customFormat="false" ht="15" hidden="false" customHeight="false" outlineLevel="0" collapsed="false">
      <c r="B13" s="56" t="n">
        <v>46088</v>
      </c>
      <c r="C13" s="57" t="s">
        <v>50</v>
      </c>
      <c r="D13" s="57" t="s">
        <v>73</v>
      </c>
      <c r="E13" s="16" t="s">
        <v>125</v>
      </c>
      <c r="F13" s="58" t="n">
        <f aca="false">8.44*2</f>
        <v>16.88</v>
      </c>
      <c r="H13" s="59" t="n">
        <v>46088</v>
      </c>
      <c r="I13" s="51" t="s">
        <v>66</v>
      </c>
      <c r="J13" s="60"/>
      <c r="K13" s="55" t="n">
        <v>30</v>
      </c>
      <c r="M13" s="52"/>
      <c r="N13" s="53"/>
      <c r="O13" s="54"/>
      <c r="P13" s="55"/>
    </row>
    <row r="14" customFormat="false" ht="15" hidden="false" customHeight="false" outlineLevel="0" collapsed="false">
      <c r="B14" s="56" t="n">
        <v>46088</v>
      </c>
      <c r="C14" s="57" t="s">
        <v>50</v>
      </c>
      <c r="D14" s="57" t="s">
        <v>73</v>
      </c>
      <c r="E14" s="16" t="s">
        <v>119</v>
      </c>
      <c r="F14" s="58" t="n">
        <v>31</v>
      </c>
      <c r="H14" s="59" t="n">
        <v>46089</v>
      </c>
      <c r="I14" s="51" t="s">
        <v>72</v>
      </c>
      <c r="J14" s="60"/>
      <c r="K14" s="55" t="n">
        <v>50</v>
      </c>
      <c r="M14" s="52"/>
      <c r="N14" s="53"/>
      <c r="O14" s="54"/>
      <c r="P14" s="55"/>
    </row>
    <row r="15" customFormat="false" ht="15" hidden="false" customHeight="false" outlineLevel="0" collapsed="false">
      <c r="B15" s="56" t="n">
        <v>46092</v>
      </c>
      <c r="C15" s="57" t="s">
        <v>32</v>
      </c>
      <c r="D15" s="57" t="s">
        <v>33</v>
      </c>
      <c r="E15" s="16" t="s">
        <v>126</v>
      </c>
      <c r="F15" s="58" t="n">
        <v>19.3</v>
      </c>
      <c r="H15" s="59" t="n">
        <v>46099</v>
      </c>
      <c r="I15" s="51" t="s">
        <v>35</v>
      </c>
      <c r="J15" s="60" t="s">
        <v>46</v>
      </c>
      <c r="K15" s="55" t="n">
        <v>40</v>
      </c>
      <c r="M15" s="52"/>
      <c r="N15" s="53"/>
      <c r="O15" s="54"/>
      <c r="P15" s="55"/>
    </row>
    <row r="16" customFormat="false" ht="15" hidden="false" customHeight="false" outlineLevel="0" collapsed="false">
      <c r="B16" s="56" t="n">
        <v>46098</v>
      </c>
      <c r="C16" s="57" t="s">
        <v>99</v>
      </c>
      <c r="D16" s="57" t="s">
        <v>104</v>
      </c>
      <c r="E16" s="16" t="s">
        <v>127</v>
      </c>
      <c r="F16" s="58" t="n">
        <v>880</v>
      </c>
      <c r="H16" s="59" t="n">
        <v>46091</v>
      </c>
      <c r="I16" s="51" t="s">
        <v>42</v>
      </c>
      <c r="J16" s="60" t="s">
        <v>116</v>
      </c>
      <c r="K16" s="55" t="n">
        <v>149.5</v>
      </c>
      <c r="M16" s="52"/>
      <c r="N16" s="53"/>
      <c r="O16" s="54"/>
      <c r="P16" s="55"/>
    </row>
    <row r="17" customFormat="false" ht="15" hidden="false" customHeight="false" outlineLevel="0" collapsed="false">
      <c r="B17" s="56" t="n">
        <v>46101</v>
      </c>
      <c r="C17" s="57" t="s">
        <v>61</v>
      </c>
      <c r="D17" s="57" t="s">
        <v>67</v>
      </c>
      <c r="E17" s="16" t="s">
        <v>128</v>
      </c>
      <c r="F17" s="58" t="n">
        <v>12</v>
      </c>
      <c r="H17" s="59" t="n">
        <v>46103</v>
      </c>
      <c r="I17" s="51" t="s">
        <v>35</v>
      </c>
      <c r="J17" s="60"/>
      <c r="K17" s="55" t="n">
        <v>67.5</v>
      </c>
      <c r="M17" s="52"/>
      <c r="N17" s="53"/>
      <c r="O17" s="54"/>
      <c r="P17" s="55"/>
    </row>
    <row r="18" customFormat="false" ht="15" hidden="false" customHeight="false" outlineLevel="0" collapsed="false">
      <c r="B18" s="56"/>
      <c r="C18" s="57"/>
      <c r="D18" s="57"/>
      <c r="E18" s="16"/>
      <c r="F18" s="58"/>
      <c r="H18" s="59" t="n">
        <v>46101</v>
      </c>
      <c r="I18" s="51" t="s">
        <v>129</v>
      </c>
      <c r="J18" s="60"/>
      <c r="K18" s="55" t="n">
        <v>35</v>
      </c>
      <c r="M18" s="52"/>
      <c r="N18" s="53"/>
      <c r="O18" s="54"/>
      <c r="P18" s="55"/>
    </row>
    <row r="19" customFormat="false" ht="15" hidden="false" customHeight="false" outlineLevel="0" collapsed="false">
      <c r="B19" s="56"/>
      <c r="C19" s="57"/>
      <c r="D19" s="57"/>
      <c r="E19" s="16"/>
      <c r="F19" s="58"/>
      <c r="H19" s="59"/>
      <c r="I19" s="51"/>
      <c r="J19" s="60"/>
      <c r="K19" s="55"/>
      <c r="M19" s="52"/>
      <c r="N19" s="53"/>
      <c r="O19" s="54"/>
      <c r="P19" s="55"/>
    </row>
    <row r="20" customFormat="false" ht="15" hidden="false" customHeight="false" outlineLevel="0" collapsed="false">
      <c r="B20" s="56"/>
      <c r="C20" s="57"/>
      <c r="D20" s="57"/>
      <c r="E20" s="16"/>
      <c r="F20" s="58"/>
      <c r="H20" s="59"/>
      <c r="I20" s="51"/>
      <c r="J20" s="60"/>
      <c r="K20" s="55"/>
      <c r="M20" s="52"/>
      <c r="N20" s="53"/>
      <c r="O20" s="54"/>
      <c r="P20" s="55"/>
    </row>
    <row r="21" customFormat="false" ht="15" hidden="false" customHeight="false" outlineLevel="0" collapsed="false">
      <c r="B21" s="56" t="n">
        <v>46141</v>
      </c>
      <c r="C21" s="57"/>
      <c r="D21" s="57"/>
      <c r="E21" s="16"/>
      <c r="F21" s="58"/>
      <c r="H21" s="59"/>
      <c r="I21" s="51"/>
      <c r="J21" s="60"/>
      <c r="K21" s="55"/>
      <c r="M21" s="52"/>
      <c r="N21" s="53"/>
      <c r="O21" s="54"/>
      <c r="P21" s="55"/>
    </row>
    <row r="22" customFormat="false" ht="15" hidden="false" customHeight="false" outlineLevel="0" collapsed="false">
      <c r="B22" s="56"/>
      <c r="C22" s="57"/>
      <c r="D22" s="57"/>
      <c r="E22" s="16"/>
      <c r="F22" s="58"/>
      <c r="H22" s="61"/>
      <c r="I22" s="62"/>
      <c r="J22" s="62"/>
      <c r="K22" s="63"/>
      <c r="M22" s="52"/>
      <c r="N22" s="53"/>
      <c r="O22" s="54"/>
      <c r="P22" s="55"/>
    </row>
    <row r="23" customFormat="false" ht="15" hidden="false" customHeight="false" outlineLevel="0" collapsed="false">
      <c r="B23" s="56"/>
      <c r="C23" s="57"/>
      <c r="D23" s="57"/>
      <c r="E23" s="16"/>
      <c r="F23" s="58"/>
      <c r="K23" s="12" t="n">
        <f aca="false">SUM(K11:K22)</f>
        <v>434.6</v>
      </c>
      <c r="M23" s="52"/>
      <c r="N23" s="53"/>
      <c r="O23" s="54"/>
      <c r="P23" s="55"/>
    </row>
    <row r="24" customFormat="false" ht="15" hidden="false" customHeight="false" outlineLevel="0" collapsed="false">
      <c r="B24" s="56"/>
      <c r="C24" s="57"/>
      <c r="D24" s="57"/>
      <c r="E24" s="16"/>
      <c r="F24" s="58"/>
      <c r="M24" s="52"/>
      <c r="N24" s="53"/>
      <c r="O24" s="54"/>
      <c r="P24" s="55"/>
    </row>
    <row r="25" customFormat="false" ht="15" hidden="false" customHeight="false" outlineLevel="0" collapsed="false">
      <c r="B25" s="56"/>
      <c r="C25" s="57"/>
      <c r="D25" s="57"/>
      <c r="E25" s="16"/>
      <c r="F25" s="58"/>
      <c r="M25" s="64"/>
      <c r="N25" s="65"/>
      <c r="O25" s="66"/>
      <c r="P25" s="63"/>
    </row>
    <row r="26" customFormat="false" ht="15" hidden="false" customHeight="false" outlineLevel="0" collapsed="false">
      <c r="B26" s="56"/>
      <c r="C26" s="57"/>
      <c r="D26" s="57"/>
      <c r="E26" s="16"/>
      <c r="F26" s="58"/>
    </row>
    <row r="27" customFormat="false" ht="15" hidden="false" customHeight="false" outlineLevel="0" collapsed="false">
      <c r="B27" s="56"/>
      <c r="C27" s="57"/>
      <c r="D27" s="57"/>
      <c r="E27" s="16"/>
      <c r="F27" s="58"/>
    </row>
    <row r="28" customFormat="false" ht="15" hidden="false" customHeight="false" outlineLevel="0" collapsed="false">
      <c r="B28" s="56"/>
      <c r="C28" s="57"/>
      <c r="D28" s="57"/>
      <c r="E28" s="16"/>
      <c r="F28" s="58"/>
    </row>
    <row r="29" customFormat="false" ht="15" hidden="false" customHeight="false" outlineLevel="0" collapsed="false">
      <c r="B29" s="56"/>
      <c r="C29" s="57"/>
      <c r="D29" s="57"/>
      <c r="E29" s="16"/>
      <c r="F29" s="58"/>
    </row>
    <row r="30" customFormat="false" ht="15" hidden="false" customHeight="false" outlineLevel="0" collapsed="false">
      <c r="B30" s="56"/>
      <c r="C30" s="57"/>
      <c r="D30" s="57"/>
      <c r="E30" s="16"/>
      <c r="F30" s="58"/>
    </row>
    <row r="31" customFormat="false" ht="15" hidden="false" customHeight="false" outlineLevel="0" collapsed="false">
      <c r="B31" s="56"/>
      <c r="C31" s="57"/>
      <c r="D31" s="57"/>
      <c r="E31" s="16"/>
      <c r="F31" s="58"/>
    </row>
    <row r="32" customFormat="false" ht="15" hidden="false" customHeight="false" outlineLevel="0" collapsed="false">
      <c r="B32" s="67"/>
      <c r="C32" s="33"/>
      <c r="D32" s="33"/>
      <c r="E32" s="33"/>
      <c r="F32" s="68"/>
    </row>
    <row r="35" customFormat="false" ht="15" hidden="false" customHeight="false" outlineLevel="0" collapsed="false">
      <c r="B35" s="69" t="s">
        <v>64</v>
      </c>
      <c r="C35" s="70" t="s">
        <v>65</v>
      </c>
      <c r="D35" s="71" t="n">
        <f aca="false">SUMIF($D$11:$D$32,C35,$F$11:$F$32)</f>
        <v>0</v>
      </c>
      <c r="H35" s="72" t="s">
        <v>66</v>
      </c>
      <c r="I35" s="71" t="n">
        <f aca="false">SUMIF($I$11:$I$22,H35,$K$11:$K$22)</f>
        <v>30</v>
      </c>
    </row>
    <row r="36" customFormat="false" ht="15" hidden="false" customHeight="false" outlineLevel="0" collapsed="false">
      <c r="B36" s="73" t="n">
        <f aca="false">SUM(D35:D39)</f>
        <v>12</v>
      </c>
      <c r="C36" s="74" t="s">
        <v>67</v>
      </c>
      <c r="D36" s="75" t="n">
        <f aca="false">SUMIF($D$11:$D$32,C36,$F$11:$F$32)</f>
        <v>12</v>
      </c>
      <c r="H36" s="76" t="s">
        <v>35</v>
      </c>
      <c r="I36" s="75" t="n">
        <f aca="false">SUMIF($I$11:$I$22,H36,$K$11:$K$22)</f>
        <v>114.3</v>
      </c>
    </row>
    <row r="37" customFormat="false" ht="15" hidden="false" customHeight="false" outlineLevel="0" collapsed="false">
      <c r="C37" s="74" t="s">
        <v>68</v>
      </c>
      <c r="D37" s="75" t="n">
        <f aca="false">SUMIF($D$11:$D$32,C37,$F$11:$F$32)</f>
        <v>0</v>
      </c>
      <c r="H37" s="76" t="s">
        <v>69</v>
      </c>
      <c r="I37" s="75" t="n">
        <f aca="false">SUMIF($I$11:$I$22,H37,$K$11:$K$22)</f>
        <v>0</v>
      </c>
    </row>
    <row r="38" customFormat="false" ht="15" hidden="false" customHeight="false" outlineLevel="0" collapsed="false">
      <c r="C38" s="74" t="s">
        <v>70</v>
      </c>
      <c r="D38" s="75" t="n">
        <f aca="false">SUMIF($D$11:$D$32,C38,$F$11:$F$32)</f>
        <v>0</v>
      </c>
      <c r="H38" s="76" t="s">
        <v>71</v>
      </c>
      <c r="I38" s="75" t="n">
        <f aca="false">SUMIF($I$11:$I$22,H38,$K$11:$K$22)</f>
        <v>0</v>
      </c>
    </row>
    <row r="39" customFormat="false" ht="15" hidden="false" customHeight="false" outlineLevel="0" collapsed="false">
      <c r="C39" s="77"/>
      <c r="D39" s="78" t="n">
        <f aca="false">SUMIF($D$11:$D$32,C39,$F$11:$F$32)</f>
        <v>0</v>
      </c>
      <c r="H39" s="76" t="s">
        <v>49</v>
      </c>
      <c r="I39" s="75" t="n">
        <f aca="false">SUMIF($I$11:$I$22,H39,$K$11:$K$22)</f>
        <v>55.8</v>
      </c>
    </row>
    <row r="40" customFormat="false" ht="15" hidden="false" customHeight="false" outlineLevel="0" collapsed="false">
      <c r="C40" s="79"/>
      <c r="D40" s="80"/>
      <c r="H40" s="76" t="s">
        <v>72</v>
      </c>
      <c r="I40" s="75" t="n">
        <f aca="false">SUMIF($I$11:$I$22,H40,$K$11:$K$22)</f>
        <v>50</v>
      </c>
    </row>
    <row r="41" customFormat="false" ht="15" hidden="false" customHeight="false" outlineLevel="0" collapsed="false">
      <c r="B41" s="69" t="s">
        <v>50</v>
      </c>
      <c r="C41" s="70" t="s">
        <v>73</v>
      </c>
      <c r="D41" s="71" t="n">
        <f aca="false">SUMIF($D$11:$D$32,C41,$F$11:$F$32)</f>
        <v>47.88</v>
      </c>
      <c r="H41" s="76" t="s">
        <v>74</v>
      </c>
      <c r="I41" s="75" t="n">
        <f aca="false">SUMIF($I$11:$I$22,H41,$K$11:$K$22)</f>
        <v>0</v>
      </c>
    </row>
    <row r="42" customFormat="false" ht="15" hidden="false" customHeight="false" outlineLevel="0" collapsed="false">
      <c r="B42" s="73" t="n">
        <f aca="false">SUBTOTAL(9,D41:D48)</f>
        <v>47.88</v>
      </c>
      <c r="C42" s="74" t="s">
        <v>75</v>
      </c>
      <c r="D42" s="75" t="n">
        <f aca="false">SUMIF($D$11:$D$32,C42,$F$11:$F$32)</f>
        <v>0</v>
      </c>
      <c r="H42" s="76" t="s">
        <v>42</v>
      </c>
      <c r="I42" s="75" t="n">
        <f aca="false">SUMIF($I$11:$I$22,H42,$K$11:$K$22)</f>
        <v>149.5</v>
      </c>
    </row>
    <row r="43" customFormat="false" ht="15" hidden="false" customHeight="false" outlineLevel="0" collapsed="false">
      <c r="C43" s="74" t="s">
        <v>76</v>
      </c>
      <c r="D43" s="75" t="n">
        <f aca="false">SUMIF($D$11:$D$32,C43,$F$11:$F$32)</f>
        <v>0</v>
      </c>
      <c r="H43" s="76" t="s">
        <v>77</v>
      </c>
      <c r="I43" s="75" t="n">
        <f aca="false">SUMIF($I$11:$I$22,H43,$K$11:$K$22)</f>
        <v>0</v>
      </c>
    </row>
    <row r="44" customFormat="false" ht="15" hidden="false" customHeight="false" outlineLevel="0" collapsed="false">
      <c r="C44" s="74" t="s">
        <v>78</v>
      </c>
      <c r="D44" s="75" t="n">
        <f aca="false">SUMIF($D$11:$D$32,C44,$F$11:$F$32)</f>
        <v>0</v>
      </c>
      <c r="H44" s="76" t="s">
        <v>79</v>
      </c>
      <c r="I44" s="75" t="n">
        <f aca="false">SUMIF($I$11:$I$22,H44,$K$11:$K$22)</f>
        <v>0</v>
      </c>
    </row>
    <row r="45" customFormat="false" ht="15" hidden="false" customHeight="false" outlineLevel="0" collapsed="false">
      <c r="C45" s="74" t="s">
        <v>80</v>
      </c>
      <c r="D45" s="75" t="n">
        <f aca="false">SUMIF($D$11:$D$32,C45,$F$11:$F$32)</f>
        <v>0</v>
      </c>
      <c r="H45" s="81"/>
      <c r="I45" s="78" t="n">
        <f aca="false">SUMIF($I$11:$I$22,H45,$K$11:$K$22)</f>
        <v>0</v>
      </c>
    </row>
    <row r="46" customFormat="false" ht="15" hidden="false" customHeight="false" outlineLevel="0" collapsed="false">
      <c r="C46" s="74" t="s">
        <v>51</v>
      </c>
      <c r="D46" s="75" t="n">
        <f aca="false">SUMIF($D$11:$D$32,C46,$F$11:$F$32)</f>
        <v>0</v>
      </c>
    </row>
    <row r="47" customFormat="false" ht="15" hidden="false" customHeight="false" outlineLevel="0" collapsed="false">
      <c r="C47" s="82"/>
      <c r="D47" s="83" t="n">
        <f aca="false">SUMIF($D$11:$D$32,C47,$F$11:$F$32)</f>
        <v>0</v>
      </c>
    </row>
    <row r="48" customFormat="false" ht="15" hidden="false" customHeight="false" outlineLevel="0" collapsed="false">
      <c r="C48" s="77"/>
      <c r="D48" s="78" t="n">
        <f aca="false">SUMIF($D$11:$D$32,C48,$F$11:$F$32)</f>
        <v>0</v>
      </c>
    </row>
    <row r="49" customFormat="false" ht="15" hidden="false" customHeight="false" outlineLevel="0" collapsed="false">
      <c r="D49" s="80"/>
    </row>
    <row r="50" customFormat="false" ht="15" hidden="false" customHeight="false" outlineLevel="0" collapsed="false">
      <c r="B50" s="69" t="s">
        <v>32</v>
      </c>
      <c r="C50" s="70" t="s">
        <v>81</v>
      </c>
      <c r="D50" s="71" t="n">
        <f aca="false">SUMIF($D$11:$D$32,C50,$F$11:$F$32)</f>
        <v>0</v>
      </c>
    </row>
    <row r="51" customFormat="false" ht="15" hidden="false" customHeight="false" outlineLevel="0" collapsed="false">
      <c r="B51" s="73" t="n">
        <f aca="false">SUM(D50:D56)</f>
        <v>19.3</v>
      </c>
      <c r="C51" s="74" t="s">
        <v>57</v>
      </c>
      <c r="D51" s="75" t="n">
        <f aca="false">SUMIF($D$11:$D$32,C51,$F$11:$F$32)</f>
        <v>0</v>
      </c>
    </row>
    <row r="52" customFormat="false" ht="15" hidden="false" customHeight="false" outlineLevel="0" collapsed="false">
      <c r="C52" s="74" t="s">
        <v>82</v>
      </c>
      <c r="D52" s="75" t="n">
        <f aca="false">SUMIF($D$11:$D$32,C52,$F$11:$F$32)</f>
        <v>0</v>
      </c>
    </row>
    <row r="53" customFormat="false" ht="15" hidden="false" customHeight="false" outlineLevel="0" collapsed="false">
      <c r="C53" s="74" t="s">
        <v>33</v>
      </c>
      <c r="D53" s="75" t="n">
        <f aca="false">SUMIF($D$11:$D$32,C53,$F$11:$F$32)</f>
        <v>19.3</v>
      </c>
    </row>
    <row r="54" customFormat="false" ht="15" hidden="false" customHeight="false" outlineLevel="0" collapsed="false">
      <c r="C54" s="74" t="s">
        <v>83</v>
      </c>
      <c r="D54" s="75" t="n">
        <f aca="false">SUMIF($D$11:$D$32,C54,$F$11:$F$32)</f>
        <v>0</v>
      </c>
    </row>
    <row r="55" customFormat="false" ht="15" hidden="false" customHeight="false" outlineLevel="0" collapsed="false">
      <c r="C55" s="74" t="s">
        <v>59</v>
      </c>
      <c r="D55" s="75" t="n">
        <f aca="false">SUMIF($D$11:$D$32,C55,$F$11:$F$32)</f>
        <v>0</v>
      </c>
    </row>
    <row r="56" customFormat="false" ht="15" hidden="false" customHeight="false" outlineLevel="0" collapsed="false">
      <c r="C56" s="64"/>
      <c r="D56" s="78" t="n">
        <f aca="false">SUMIF($D$11:$D$32,C56,$F$11:$F$32)</f>
        <v>0</v>
      </c>
    </row>
    <row r="57" customFormat="false" ht="15" hidden="false" customHeight="false" outlineLevel="0" collapsed="false">
      <c r="D57" s="80"/>
    </row>
    <row r="58" customFormat="false" ht="15" hidden="false" customHeight="false" outlineLevel="0" collapsed="false">
      <c r="B58" s="69" t="s">
        <v>39</v>
      </c>
      <c r="C58" s="70" t="s">
        <v>84</v>
      </c>
      <c r="D58" s="71" t="n">
        <f aca="false">SUMIF($D$11:$D$32,C58,$F$11:$F$32)</f>
        <v>0</v>
      </c>
    </row>
    <row r="59" customFormat="false" ht="15" hidden="false" customHeight="false" outlineLevel="0" collapsed="false">
      <c r="B59" s="73" t="n">
        <f aca="false">SUM(D58:D64)</f>
        <v>210</v>
      </c>
      <c r="C59" s="74" t="s">
        <v>40</v>
      </c>
      <c r="D59" s="75" t="n">
        <f aca="false">SUMIF($D$11:$D$32,C59,$F$11:$F$32)</f>
        <v>0</v>
      </c>
    </row>
    <row r="60" customFormat="false" ht="15" hidden="false" customHeight="false" outlineLevel="0" collapsed="false">
      <c r="C60" s="74" t="s">
        <v>85</v>
      </c>
      <c r="D60" s="75" t="n">
        <f aca="false">SUMIF($D$11:$D$32,C60,$F$11:$F$32)</f>
        <v>0</v>
      </c>
    </row>
    <row r="61" customFormat="false" ht="15" hidden="false" customHeight="false" outlineLevel="0" collapsed="false">
      <c r="C61" s="74" t="s">
        <v>86</v>
      </c>
      <c r="D61" s="75" t="n">
        <f aca="false">SUMIF($D$11:$D$32,C61,$F$11:$F$32)</f>
        <v>0</v>
      </c>
    </row>
    <row r="62" customFormat="false" ht="15" hidden="false" customHeight="false" outlineLevel="0" collapsed="false">
      <c r="C62" s="74" t="s">
        <v>47</v>
      </c>
      <c r="D62" s="75" t="n">
        <f aca="false">SUMIF($D$11:$D$32,C62,$F$11:$F$32)</f>
        <v>210</v>
      </c>
    </row>
    <row r="63" customFormat="false" ht="15" hidden="false" customHeight="false" outlineLevel="0" collapsed="false">
      <c r="C63" s="74" t="s">
        <v>87</v>
      </c>
      <c r="D63" s="75" t="n">
        <f aca="false">SUMIF($D$11:$D$32,C63,$F$11:$F$32)</f>
        <v>0</v>
      </c>
    </row>
    <row r="64" customFormat="false" ht="15" hidden="false" customHeight="false" outlineLevel="0" collapsed="false">
      <c r="C64" s="64"/>
      <c r="D64" s="78" t="n">
        <f aca="false">SUMIF($D$11:$D$32,C64,$F$11:$F$32)</f>
        <v>0</v>
      </c>
    </row>
    <row r="65" customFormat="false" ht="15" hidden="false" customHeight="false" outlineLevel="0" collapsed="false">
      <c r="D65" s="80"/>
    </row>
    <row r="66" customFormat="false" ht="15" hidden="false" customHeight="false" outlineLevel="0" collapsed="false">
      <c r="B66" s="69" t="s">
        <v>88</v>
      </c>
      <c r="C66" s="70" t="s">
        <v>89</v>
      </c>
      <c r="D66" s="71" t="n">
        <f aca="false">SUMIF($D$11:$D$32,C66,$F$11:$F$32)</f>
        <v>0</v>
      </c>
    </row>
    <row r="67" customFormat="false" ht="15" hidden="false" customHeight="false" outlineLevel="0" collapsed="false">
      <c r="B67" s="73" t="n">
        <f aca="false">SUM(D66:D72)</f>
        <v>34.45</v>
      </c>
      <c r="C67" s="74" t="s">
        <v>90</v>
      </c>
      <c r="D67" s="75" t="n">
        <f aca="false">SUMIF($D$11:$D$32,C67,$F$11:$F$32)</f>
        <v>0</v>
      </c>
    </row>
    <row r="68" customFormat="false" ht="15" hidden="false" customHeight="false" outlineLevel="0" collapsed="false">
      <c r="C68" s="74" t="s">
        <v>91</v>
      </c>
      <c r="D68" s="75" t="n">
        <f aca="false">SUMIF($D$11:$D$32,C68,$F$11:$F$32)</f>
        <v>34.45</v>
      </c>
    </row>
    <row r="69" customFormat="false" ht="15" hidden="false" customHeight="false" outlineLevel="0" collapsed="false">
      <c r="C69" s="74" t="s">
        <v>92</v>
      </c>
      <c r="D69" s="75" t="n">
        <f aca="false">SUMIF($D$11:$D$32,C69,$F$11:$F$32)</f>
        <v>0</v>
      </c>
    </row>
    <row r="70" customFormat="false" ht="15" hidden="false" customHeight="false" outlineLevel="0" collapsed="false">
      <c r="C70" s="74" t="s">
        <v>93</v>
      </c>
      <c r="D70" s="75" t="n">
        <f aca="false">SUMIF($D$11:$D$32,C70,$F$11:$F$32)</f>
        <v>0</v>
      </c>
    </row>
    <row r="71" customFormat="false" ht="15" hidden="false" customHeight="false" outlineLevel="0" collapsed="false">
      <c r="C71" s="74" t="s">
        <v>94</v>
      </c>
      <c r="D71" s="75" t="n">
        <f aca="false">SUMIF($D$11:$D$32,C71,$F$11:$F$32)</f>
        <v>0</v>
      </c>
    </row>
    <row r="72" customFormat="false" ht="15" hidden="false" customHeight="false" outlineLevel="0" collapsed="false">
      <c r="C72" s="64"/>
      <c r="D72" s="78" t="n">
        <f aca="false">SUMIF($D$11:$D$32,C72,$F$11:$F$32)</f>
        <v>0</v>
      </c>
    </row>
    <row r="73" customFormat="false" ht="15" hidden="false" customHeight="false" outlineLevel="0" collapsed="false">
      <c r="D73" s="80"/>
    </row>
    <row r="74" customFormat="false" ht="15" hidden="false" customHeight="false" outlineLevel="0" collapsed="false">
      <c r="B74" s="69" t="s">
        <v>77</v>
      </c>
      <c r="C74" s="70" t="s">
        <v>95</v>
      </c>
      <c r="D74" s="71" t="n">
        <f aca="false">SUMIF($D$11:$D$32,C74,$F$11:$F$32)</f>
        <v>0</v>
      </c>
    </row>
    <row r="75" customFormat="false" ht="15" hidden="false" customHeight="false" outlineLevel="0" collapsed="false">
      <c r="B75" s="73" t="n">
        <f aca="false">SUM(D74:D80)</f>
        <v>0</v>
      </c>
      <c r="C75" s="74" t="s">
        <v>96</v>
      </c>
      <c r="D75" s="75" t="n">
        <f aca="false">SUMIF($D$11:$D$32,C75,$F$11:$F$32)</f>
        <v>0</v>
      </c>
    </row>
    <row r="76" customFormat="false" ht="15" hidden="false" customHeight="false" outlineLevel="0" collapsed="false">
      <c r="C76" s="74" t="s">
        <v>97</v>
      </c>
      <c r="D76" s="75" t="n">
        <f aca="false">SUMIF($D$11:$D$32,C76,$F$11:$F$32)</f>
        <v>0</v>
      </c>
    </row>
    <row r="77" customFormat="false" ht="15" hidden="false" customHeight="false" outlineLevel="0" collapsed="false">
      <c r="C77" s="74" t="s">
        <v>98</v>
      </c>
      <c r="D77" s="75" t="n">
        <f aca="false">SUMIF($D$11:$D$32,C77,$F$11:$F$32)</f>
        <v>0</v>
      </c>
    </row>
    <row r="78" customFormat="false" ht="15" hidden="false" customHeight="false" outlineLevel="0" collapsed="false">
      <c r="C78" s="74"/>
      <c r="D78" s="75" t="n">
        <f aca="false">SUMIF($D$11:$D$32,C78,$F$11:$F$32)</f>
        <v>0</v>
      </c>
    </row>
    <row r="79" customFormat="false" ht="15" hidden="false" customHeight="false" outlineLevel="0" collapsed="false">
      <c r="C79" s="74"/>
      <c r="D79" s="75" t="n">
        <f aca="false">SUMIF($D$11:$D$32,C79,$F$11:$F$32)</f>
        <v>0</v>
      </c>
    </row>
    <row r="80" customFormat="false" ht="15" hidden="false" customHeight="false" outlineLevel="0" collapsed="false">
      <c r="C80" s="64"/>
      <c r="D80" s="78" t="n">
        <f aca="false">SUMIF($D$11:$D$32,C80,$F$11:$F$32)</f>
        <v>0</v>
      </c>
    </row>
    <row r="81" customFormat="false" ht="15" hidden="false" customHeight="false" outlineLevel="0" collapsed="false">
      <c r="D81" s="80"/>
    </row>
    <row r="82" customFormat="false" ht="15" hidden="false" customHeight="false" outlineLevel="0" collapsed="false">
      <c r="B82" s="69" t="s">
        <v>99</v>
      </c>
      <c r="C82" s="70" t="s">
        <v>100</v>
      </c>
      <c r="D82" s="71" t="n">
        <f aca="false">SUMIF($D$11:$D$32,C82,$F$11:$F$32)</f>
        <v>0</v>
      </c>
    </row>
    <row r="83" customFormat="false" ht="15" hidden="false" customHeight="false" outlineLevel="0" collapsed="false">
      <c r="B83" s="73" t="n">
        <f aca="false">SUM(D82:D88)</f>
        <v>880</v>
      </c>
      <c r="C83" s="74" t="s">
        <v>101</v>
      </c>
      <c r="D83" s="75" t="n">
        <f aca="false">SUMIF($D$11:$D$32,C83,$F$11:$F$32)</f>
        <v>0</v>
      </c>
    </row>
    <row r="84" customFormat="false" ht="15" hidden="false" customHeight="false" outlineLevel="0" collapsed="false">
      <c r="C84" s="74" t="s">
        <v>102</v>
      </c>
      <c r="D84" s="75" t="n">
        <f aca="false">SUMIF($D$11:$D$32,C84,$F$11:$F$32)</f>
        <v>0</v>
      </c>
    </row>
    <row r="85" customFormat="false" ht="15" hidden="false" customHeight="false" outlineLevel="0" collapsed="false">
      <c r="C85" s="74" t="s">
        <v>103</v>
      </c>
      <c r="D85" s="75" t="n">
        <f aca="false">SUMIF($D$11:$D$32,C85,$F$11:$F$32)</f>
        <v>0</v>
      </c>
    </row>
    <row r="86" customFormat="false" ht="15" hidden="false" customHeight="false" outlineLevel="0" collapsed="false">
      <c r="C86" s="74" t="s">
        <v>104</v>
      </c>
      <c r="D86" s="75" t="n">
        <f aca="false">SUMIF($D$11:$D$32,C86,$F$11:$F$32)</f>
        <v>880</v>
      </c>
    </row>
    <row r="87" customFormat="false" ht="15" hidden="false" customHeight="false" outlineLevel="0" collapsed="false">
      <c r="C87" s="74" t="s">
        <v>105</v>
      </c>
      <c r="D87" s="75" t="n">
        <f aca="false">SUMIF($D$11:$D$32,C87,$F$11:$F$32)</f>
        <v>0</v>
      </c>
    </row>
    <row r="88" customFormat="false" ht="15" hidden="false" customHeight="false" outlineLevel="0" collapsed="false">
      <c r="C88" s="64"/>
      <c r="D88" s="78" t="n">
        <f aca="false">SUMIF($D$11:$D$32,C88,$F$11:$F$32)</f>
        <v>0</v>
      </c>
    </row>
    <row r="90" customFormat="false" ht="15" hidden="false" customHeight="false" outlineLevel="0" collapsed="false">
      <c r="B90" s="69" t="s">
        <v>79</v>
      </c>
      <c r="C90" s="70"/>
      <c r="D90" s="71" t="n">
        <f aca="false">SUMIF(C11:C32,B90,F11:F32)</f>
        <v>0</v>
      </c>
    </row>
  </sheetData>
  <mergeCells count="3">
    <mergeCell ref="H2:K2"/>
    <mergeCell ref="B9:F9"/>
    <mergeCell ref="H9:K9"/>
  </mergeCells>
  <dataValidations count="3">
    <dataValidation allowBlank="true" errorStyle="stop" operator="between" showDropDown="false" showErrorMessage="true" showInputMessage="true" sqref="D11:D32" type="list">
      <formula1>INDIRECT(C11)</formula1>
      <formula2>0</formula2>
    </dataValidation>
    <dataValidation allowBlank="true" errorStyle="stop" operator="between" showDropDown="false" showErrorMessage="true" showInputMessage="true" sqref="I11:I22" type="list">
      <formula1>Modelo!$R$3:$R$14</formula1>
      <formula2>0</formula2>
    </dataValidation>
    <dataValidation allowBlank="true" errorStyle="stop" operator="between" showDropDown="false" showErrorMessage="true" showInputMessage="true" sqref="C11:C32" type="list">
      <formula1>Modelo!$P$3:$P$10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DD7EE"/>
    <pageSetUpPr fitToPage="false"/>
  </sheetPr>
  <dimension ref="B2:P90"/>
  <sheetViews>
    <sheetView showFormulas="false" showGridLines="false" showRowColHeaders="true" showZeros="true" rightToLeft="false" tabSelected="false" showOutlineSymbols="true" defaultGridColor="true" view="normal" topLeftCell="C1" colorId="64" zoomScale="110" zoomScaleNormal="110" zoomScalePageLayoutView="100" workbookViewId="0">
      <selection pane="topLeft" activeCell="L36" activeCellId="0" sqref="L3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.15"/>
    <col collapsed="false" customWidth="true" hidden="false" outlineLevel="0" max="3" min="3" style="1" width="41.57"/>
    <col collapsed="false" customWidth="true" hidden="false" outlineLevel="0" max="4" min="4" style="1" width="13.15"/>
    <col collapsed="false" customWidth="true" hidden="false" outlineLevel="0" max="5" min="5" style="1" width="27.15"/>
    <col collapsed="false" customWidth="true" hidden="false" outlineLevel="0" max="6" min="6" style="1" width="13.71"/>
    <col collapsed="false" customWidth="true" hidden="false" outlineLevel="0" max="7" min="7" style="1" width="2.57"/>
    <col collapsed="false" customWidth="true" hidden="false" outlineLevel="0" max="8" min="8" style="1" width="17.86"/>
    <col collapsed="false" customWidth="true" hidden="false" outlineLevel="0" max="9" min="9" style="1" width="19.42"/>
    <col collapsed="false" customWidth="true" hidden="false" outlineLevel="0" max="10" min="10" style="1" width="14.71"/>
    <col collapsed="false" customWidth="true" hidden="false" outlineLevel="0" max="11" min="11" style="1" width="34.42"/>
    <col collapsed="false" customWidth="true" hidden="false" outlineLevel="0" max="12" min="12" style="1" width="13"/>
    <col collapsed="false" customWidth="true" hidden="false" outlineLevel="0" max="13" min="13" style="1" width="26.42"/>
    <col collapsed="false" customWidth="true" hidden="false" outlineLevel="0" max="14" min="14" style="1" width="31.71"/>
    <col collapsed="false" customWidth="true" hidden="false" outlineLevel="0" max="16" min="15" style="1" width="12"/>
  </cols>
  <sheetData>
    <row r="2" customFormat="false" ht="15" hidden="false" customHeight="false" outlineLevel="0" collapsed="false">
      <c r="B2" s="2" t="s">
        <v>130</v>
      </c>
      <c r="C2" s="3" t="s">
        <v>1</v>
      </c>
      <c r="D2" s="4" t="s">
        <v>2</v>
      </c>
      <c r="E2" s="3"/>
      <c r="F2" s="5" t="s">
        <v>3</v>
      </c>
      <c r="H2" s="6"/>
      <c r="I2" s="6"/>
      <c r="J2" s="6"/>
      <c r="K2" s="6"/>
    </row>
    <row r="3" customFormat="false" ht="15" hidden="false" customHeight="false" outlineLevel="0" collapsed="false">
      <c r="B3" s="7" t="s">
        <v>4</v>
      </c>
      <c r="C3" s="8"/>
      <c r="D3" s="9" t="n">
        <v>2100</v>
      </c>
      <c r="E3" s="10" t="s">
        <v>1</v>
      </c>
      <c r="F3" s="11" t="n">
        <f aca="false">SUM(D3,D5,D6,D7,D4)</f>
        <v>2679.04</v>
      </c>
      <c r="I3" s="2" t="s">
        <v>6</v>
      </c>
      <c r="K3" s="13" t="s">
        <v>7</v>
      </c>
      <c r="L3" s="14" t="n">
        <v>1343</v>
      </c>
      <c r="M3" s="12"/>
    </row>
    <row r="4" customFormat="false" ht="15" hidden="false" customHeight="false" outlineLevel="0" collapsed="false">
      <c r="B4" s="15" t="s">
        <v>8</v>
      </c>
      <c r="C4" s="16"/>
      <c r="D4" s="17" t="n">
        <f aca="false">SUM(P10:P25)</f>
        <v>136.5</v>
      </c>
      <c r="E4" s="18" t="s">
        <v>9</v>
      </c>
      <c r="F4" s="19" t="n">
        <f aca="false">SUM(F11:F32)</f>
        <v>723.11</v>
      </c>
      <c r="I4" s="20" t="n">
        <f aca="true">TODAY()</f>
        <v>46242</v>
      </c>
      <c r="K4" s="13" t="s">
        <v>11</v>
      </c>
      <c r="L4" s="14" t="n">
        <f aca="false">1185.57-201.64</f>
        <v>983.93</v>
      </c>
    </row>
    <row r="5" customFormat="false" ht="15" hidden="false" customHeight="false" outlineLevel="0" collapsed="false">
      <c r="B5" s="21" t="s">
        <v>12</v>
      </c>
      <c r="C5" s="22"/>
      <c r="D5" s="23"/>
      <c r="E5" s="24" t="s">
        <v>13</v>
      </c>
      <c r="F5" s="25" t="n">
        <f aca="false">D4</f>
        <v>136.5</v>
      </c>
      <c r="I5" s="26" t="s">
        <v>14</v>
      </c>
      <c r="K5" s="13" t="s">
        <v>15</v>
      </c>
      <c r="L5" s="14" t="n">
        <f aca="false">SUM(P10:P25)</f>
        <v>136.5</v>
      </c>
    </row>
    <row r="6" customFormat="false" ht="15" hidden="false" customHeight="false" outlineLevel="0" collapsed="false">
      <c r="B6" s="21" t="s">
        <v>16</v>
      </c>
      <c r="C6" s="22"/>
      <c r="D6" s="23"/>
      <c r="E6" s="27" t="s">
        <v>17</v>
      </c>
      <c r="F6" s="28" t="n">
        <f aca="false">SUM(K11:K22)</f>
        <v>516.69</v>
      </c>
      <c r="I6" s="29" t="n">
        <v>46136</v>
      </c>
      <c r="K6" s="30" t="s">
        <v>18</v>
      </c>
      <c r="L6" s="84" t="n">
        <f aca="false">274.72-67.7-23.36-48-48.5-8.6-35.31-37.5-50-6.69</f>
        <v>-50.94</v>
      </c>
    </row>
    <row r="7" customFormat="false" ht="15" hidden="false" customHeight="false" outlineLevel="0" collapsed="false">
      <c r="B7" s="32" t="s">
        <v>107</v>
      </c>
      <c r="C7" s="33"/>
      <c r="D7" s="34" t="n">
        <f aca="false">Mar!F7</f>
        <v>442.54</v>
      </c>
      <c r="E7" s="35" t="s">
        <v>19</v>
      </c>
      <c r="F7" s="36" t="n">
        <f aca="false">F3-F4-F6</f>
        <v>1439.24</v>
      </c>
      <c r="K7" s="1" t="s">
        <v>131</v>
      </c>
    </row>
    <row r="9" customFormat="false" ht="15" hidden="false" customHeight="false" outlineLevel="0" collapsed="false">
      <c r="B9" s="37" t="s">
        <v>20</v>
      </c>
      <c r="C9" s="37"/>
      <c r="D9" s="37"/>
      <c r="E9" s="37"/>
      <c r="F9" s="37"/>
      <c r="H9" s="38" t="s">
        <v>21</v>
      </c>
      <c r="I9" s="38"/>
      <c r="J9" s="38"/>
      <c r="K9" s="38"/>
      <c r="M9" s="39" t="s">
        <v>108</v>
      </c>
      <c r="N9" s="40" t="s">
        <v>23</v>
      </c>
      <c r="O9" s="41" t="s">
        <v>24</v>
      </c>
      <c r="P9" s="42" t="s">
        <v>25</v>
      </c>
    </row>
    <row r="10" customFormat="false" ht="15" hidden="false" customHeight="false" outlineLevel="0" collapsed="false">
      <c r="B10" s="5" t="s">
        <v>6</v>
      </c>
      <c r="C10" s="5" t="s">
        <v>26</v>
      </c>
      <c r="D10" s="5" t="s">
        <v>27</v>
      </c>
      <c r="E10" s="5" t="s">
        <v>28</v>
      </c>
      <c r="F10" s="5" t="s">
        <v>2</v>
      </c>
      <c r="H10" s="5" t="s">
        <v>6</v>
      </c>
      <c r="I10" s="5" t="s">
        <v>29</v>
      </c>
      <c r="J10" s="5" t="s">
        <v>27</v>
      </c>
      <c r="K10" s="5" t="s">
        <v>2</v>
      </c>
      <c r="M10" s="43" t="s">
        <v>132</v>
      </c>
      <c r="N10" s="44" t="n">
        <v>46136</v>
      </c>
      <c r="O10" s="45" t="s">
        <v>133</v>
      </c>
      <c r="P10" s="46" t="n">
        <v>136.5</v>
      </c>
    </row>
    <row r="11" customFormat="false" ht="15" hidden="false" customHeight="false" outlineLevel="0" collapsed="false">
      <c r="B11" s="47" t="n">
        <v>46118</v>
      </c>
      <c r="C11" s="48" t="s">
        <v>64</v>
      </c>
      <c r="D11" s="48" t="s">
        <v>67</v>
      </c>
      <c r="E11" s="48" t="s">
        <v>134</v>
      </c>
      <c r="F11" s="49" t="n">
        <v>17.5</v>
      </c>
      <c r="H11" s="50" t="n">
        <v>46114</v>
      </c>
      <c r="I11" s="51" t="s">
        <v>49</v>
      </c>
      <c r="J11" s="51"/>
      <c r="K11" s="46" t="n">
        <f aca="false">78+6.69</f>
        <v>84.69</v>
      </c>
      <c r="M11" s="52"/>
      <c r="N11" s="53"/>
      <c r="O11" s="54"/>
      <c r="P11" s="55"/>
    </row>
    <row r="12" customFormat="false" ht="15" hidden="false" customHeight="false" outlineLevel="0" collapsed="false">
      <c r="B12" s="56" t="n">
        <v>46119</v>
      </c>
      <c r="C12" s="57" t="s">
        <v>64</v>
      </c>
      <c r="D12" s="57" t="s">
        <v>67</v>
      </c>
      <c r="E12" s="16" t="s">
        <v>135</v>
      </c>
      <c r="F12" s="58" t="n">
        <v>30</v>
      </c>
      <c r="H12" s="59" t="n">
        <v>46114</v>
      </c>
      <c r="I12" s="51" t="s">
        <v>35</v>
      </c>
      <c r="J12" s="60" t="s">
        <v>136</v>
      </c>
      <c r="K12" s="55" t="n">
        <v>30</v>
      </c>
      <c r="M12" s="52"/>
      <c r="N12" s="53"/>
      <c r="O12" s="54"/>
      <c r="P12" s="55"/>
    </row>
    <row r="13" customFormat="false" ht="15" hidden="false" customHeight="false" outlineLevel="0" collapsed="false">
      <c r="B13" s="56" t="n">
        <v>46123</v>
      </c>
      <c r="C13" s="57" t="s">
        <v>50</v>
      </c>
      <c r="D13" s="57" t="s">
        <v>75</v>
      </c>
      <c r="E13" s="16" t="s">
        <v>137</v>
      </c>
      <c r="F13" s="58" t="n">
        <v>155</v>
      </c>
      <c r="H13" s="59" t="n">
        <v>46114</v>
      </c>
      <c r="I13" s="51" t="s">
        <v>35</v>
      </c>
      <c r="J13" s="60" t="s">
        <v>120</v>
      </c>
      <c r="K13" s="55" t="n">
        <v>7</v>
      </c>
      <c r="M13" s="52"/>
      <c r="N13" s="53"/>
      <c r="O13" s="54"/>
      <c r="P13" s="55"/>
    </row>
    <row r="14" customFormat="false" ht="15" hidden="false" customHeight="false" outlineLevel="0" collapsed="false">
      <c r="B14" s="56" t="n">
        <v>46124</v>
      </c>
      <c r="C14" s="57" t="s">
        <v>32</v>
      </c>
      <c r="D14" s="57" t="s">
        <v>33</v>
      </c>
      <c r="E14" s="16" t="s">
        <v>138</v>
      </c>
      <c r="F14" s="58" t="n">
        <f aca="false">3.78+1.78+62.14</f>
        <v>67.7</v>
      </c>
      <c r="H14" s="59" t="n">
        <v>46123</v>
      </c>
      <c r="I14" s="51" t="s">
        <v>72</v>
      </c>
      <c r="J14" s="60" t="s">
        <v>139</v>
      </c>
      <c r="K14" s="55" t="n">
        <v>210</v>
      </c>
      <c r="M14" s="52"/>
      <c r="N14" s="53"/>
      <c r="O14" s="54"/>
      <c r="P14" s="55"/>
    </row>
    <row r="15" customFormat="false" ht="15" hidden="false" customHeight="false" outlineLevel="0" collapsed="false">
      <c r="B15" s="56" t="n">
        <v>46124</v>
      </c>
      <c r="C15" s="57" t="s">
        <v>64</v>
      </c>
      <c r="D15" s="57" t="s">
        <v>65</v>
      </c>
      <c r="E15" s="16" t="s">
        <v>140</v>
      </c>
      <c r="F15" s="58" t="n">
        <v>23.36</v>
      </c>
      <c r="H15" s="59" t="n">
        <v>46123</v>
      </c>
      <c r="I15" s="51" t="s">
        <v>42</v>
      </c>
      <c r="J15" s="60" t="s">
        <v>43</v>
      </c>
      <c r="K15" s="55" t="n">
        <v>150</v>
      </c>
      <c r="M15" s="52"/>
      <c r="N15" s="53"/>
      <c r="O15" s="54"/>
      <c r="P15" s="55"/>
    </row>
    <row r="16" customFormat="false" ht="15" hidden="false" customHeight="false" outlineLevel="0" collapsed="false">
      <c r="B16" s="56" t="n">
        <v>46132</v>
      </c>
      <c r="C16" s="57" t="s">
        <v>32</v>
      </c>
      <c r="D16" s="57" t="s">
        <v>33</v>
      </c>
      <c r="E16" s="16" t="s">
        <v>141</v>
      </c>
      <c r="F16" s="58" t="n">
        <v>48</v>
      </c>
      <c r="H16" s="59" t="n">
        <v>46130</v>
      </c>
      <c r="I16" s="51" t="s">
        <v>129</v>
      </c>
      <c r="J16" s="60"/>
      <c r="K16" s="55" t="n">
        <v>35</v>
      </c>
      <c r="M16" s="52"/>
      <c r="N16" s="53"/>
      <c r="O16" s="54"/>
      <c r="P16" s="55"/>
    </row>
    <row r="17" customFormat="false" ht="15" hidden="false" customHeight="false" outlineLevel="0" collapsed="false">
      <c r="B17" s="56" t="n">
        <v>46133</v>
      </c>
      <c r="C17" s="57" t="s">
        <v>39</v>
      </c>
      <c r="D17" s="57" t="s">
        <v>47</v>
      </c>
      <c r="E17" s="16" t="s">
        <v>142</v>
      </c>
      <c r="F17" s="58" t="n">
        <v>48.5</v>
      </c>
      <c r="H17" s="59"/>
      <c r="I17" s="51"/>
      <c r="J17" s="60"/>
      <c r="K17" s="55"/>
      <c r="M17" s="52"/>
      <c r="N17" s="53"/>
      <c r="O17" s="54"/>
      <c r="P17" s="55"/>
    </row>
    <row r="18" customFormat="false" ht="15" hidden="false" customHeight="false" outlineLevel="0" collapsed="false">
      <c r="B18" s="56" t="n">
        <v>46134</v>
      </c>
      <c r="C18" s="57" t="s">
        <v>64</v>
      </c>
      <c r="D18" s="57" t="s">
        <v>67</v>
      </c>
      <c r="E18" s="16"/>
      <c r="F18" s="58" t="n">
        <v>8.6</v>
      </c>
      <c r="H18" s="59"/>
      <c r="I18" s="51"/>
      <c r="J18" s="60"/>
      <c r="K18" s="55"/>
      <c r="M18" s="52"/>
      <c r="N18" s="53"/>
      <c r="O18" s="54"/>
      <c r="P18" s="55"/>
    </row>
    <row r="19" customFormat="false" ht="15" hidden="false" customHeight="false" outlineLevel="0" collapsed="false">
      <c r="B19" s="56" t="n">
        <v>46138</v>
      </c>
      <c r="C19" s="57" t="s">
        <v>50</v>
      </c>
      <c r="D19" s="57" t="s">
        <v>51</v>
      </c>
      <c r="E19" s="16" t="s">
        <v>143</v>
      </c>
      <c r="F19" s="58" t="n">
        <v>35.31</v>
      </c>
      <c r="H19" s="59"/>
      <c r="I19" s="51"/>
      <c r="J19" s="60"/>
      <c r="K19" s="55"/>
      <c r="M19" s="52"/>
      <c r="N19" s="53"/>
      <c r="O19" s="54"/>
      <c r="P19" s="55"/>
    </row>
    <row r="20" customFormat="false" ht="15" hidden="false" customHeight="false" outlineLevel="0" collapsed="false">
      <c r="B20" s="56" t="n">
        <v>46139</v>
      </c>
      <c r="C20" s="57" t="s">
        <v>32</v>
      </c>
      <c r="D20" s="57" t="s">
        <v>81</v>
      </c>
      <c r="E20" s="16" t="s">
        <v>144</v>
      </c>
      <c r="F20" s="58" t="n">
        <v>37.5</v>
      </c>
      <c r="H20" s="59"/>
      <c r="I20" s="51"/>
      <c r="J20" s="60"/>
      <c r="K20" s="55"/>
      <c r="M20" s="52"/>
      <c r="N20" s="53"/>
      <c r="O20" s="54"/>
      <c r="P20" s="55"/>
    </row>
    <row r="21" customFormat="false" ht="15" hidden="false" customHeight="false" outlineLevel="0" collapsed="false">
      <c r="B21" s="56" t="n">
        <v>46141</v>
      </c>
      <c r="C21" s="57" t="s">
        <v>79</v>
      </c>
      <c r="D21" s="57"/>
      <c r="E21" s="16" t="s">
        <v>145</v>
      </c>
      <c r="F21" s="58" t="n">
        <v>201.64</v>
      </c>
      <c r="H21" s="59"/>
      <c r="I21" s="51"/>
      <c r="J21" s="60"/>
      <c r="K21" s="55"/>
      <c r="M21" s="52"/>
      <c r="N21" s="53"/>
      <c r="O21" s="54"/>
      <c r="P21" s="55"/>
    </row>
    <row r="22" customFormat="false" ht="15" hidden="false" customHeight="false" outlineLevel="0" collapsed="false">
      <c r="B22" s="56" t="n">
        <v>46142</v>
      </c>
      <c r="C22" s="57" t="s">
        <v>99</v>
      </c>
      <c r="D22" s="57" t="s">
        <v>101</v>
      </c>
      <c r="E22" s="16" t="s">
        <v>146</v>
      </c>
      <c r="F22" s="58" t="n">
        <v>50</v>
      </c>
      <c r="H22" s="61"/>
      <c r="I22" s="62"/>
      <c r="J22" s="62"/>
      <c r="K22" s="63"/>
      <c r="M22" s="52"/>
      <c r="N22" s="53"/>
      <c r="O22" s="54"/>
      <c r="P22" s="55"/>
    </row>
    <row r="23" customFormat="false" ht="15" hidden="false" customHeight="false" outlineLevel="0" collapsed="false">
      <c r="B23" s="56"/>
      <c r="C23" s="57"/>
      <c r="D23" s="57"/>
      <c r="E23" s="16"/>
      <c r="F23" s="58"/>
      <c r="K23" s="12" t="n">
        <f aca="false">SUM(K11:K22)</f>
        <v>516.69</v>
      </c>
      <c r="M23" s="52"/>
      <c r="N23" s="53"/>
      <c r="O23" s="54"/>
      <c r="P23" s="55"/>
    </row>
    <row r="24" customFormat="false" ht="15" hidden="false" customHeight="false" outlineLevel="0" collapsed="false">
      <c r="B24" s="56"/>
      <c r="C24" s="57"/>
      <c r="D24" s="57"/>
      <c r="E24" s="16"/>
      <c r="F24" s="58"/>
      <c r="M24" s="52"/>
      <c r="N24" s="53"/>
      <c r="O24" s="54"/>
      <c r="P24" s="55"/>
    </row>
    <row r="25" customFormat="false" ht="15" hidden="false" customHeight="false" outlineLevel="0" collapsed="false">
      <c r="B25" s="56"/>
      <c r="C25" s="57"/>
      <c r="D25" s="57"/>
      <c r="E25" s="16"/>
      <c r="F25" s="58"/>
      <c r="M25" s="64"/>
      <c r="N25" s="65"/>
      <c r="O25" s="66"/>
      <c r="P25" s="63"/>
    </row>
    <row r="26" customFormat="false" ht="15" hidden="false" customHeight="false" outlineLevel="0" collapsed="false">
      <c r="B26" s="56"/>
      <c r="C26" s="57"/>
      <c r="D26" s="57"/>
      <c r="E26" s="16"/>
      <c r="F26" s="58"/>
    </row>
    <row r="27" customFormat="false" ht="15" hidden="false" customHeight="false" outlineLevel="0" collapsed="false">
      <c r="B27" s="56"/>
      <c r="C27" s="57"/>
      <c r="D27" s="57"/>
      <c r="E27" s="16"/>
      <c r="F27" s="58"/>
    </row>
    <row r="28" customFormat="false" ht="15" hidden="false" customHeight="false" outlineLevel="0" collapsed="false">
      <c r="B28" s="56"/>
      <c r="C28" s="57"/>
      <c r="D28" s="57"/>
      <c r="E28" s="16"/>
      <c r="F28" s="58"/>
    </row>
    <row r="29" customFormat="false" ht="15" hidden="false" customHeight="false" outlineLevel="0" collapsed="false">
      <c r="B29" s="56"/>
      <c r="C29" s="57"/>
      <c r="D29" s="57"/>
      <c r="E29" s="16"/>
      <c r="F29" s="58"/>
    </row>
    <row r="30" customFormat="false" ht="15" hidden="false" customHeight="false" outlineLevel="0" collapsed="false">
      <c r="B30" s="56"/>
      <c r="C30" s="57"/>
      <c r="D30" s="57"/>
      <c r="E30" s="16"/>
      <c r="F30" s="58"/>
    </row>
    <row r="31" customFormat="false" ht="15" hidden="false" customHeight="false" outlineLevel="0" collapsed="false">
      <c r="B31" s="56"/>
      <c r="C31" s="57"/>
      <c r="D31" s="57"/>
      <c r="E31" s="16"/>
      <c r="F31" s="58"/>
    </row>
    <row r="32" customFormat="false" ht="15" hidden="false" customHeight="false" outlineLevel="0" collapsed="false">
      <c r="B32" s="67"/>
      <c r="C32" s="33"/>
      <c r="D32" s="33"/>
      <c r="E32" s="33"/>
      <c r="F32" s="68"/>
    </row>
    <row r="35" customFormat="false" ht="15" hidden="false" customHeight="false" outlineLevel="0" collapsed="false">
      <c r="B35" s="69" t="s">
        <v>64</v>
      </c>
      <c r="C35" s="70" t="s">
        <v>65</v>
      </c>
      <c r="D35" s="71" t="n">
        <f aca="false">SUMIF($D$11:$D$32,C35,$F$11:$F$32)</f>
        <v>23.36</v>
      </c>
      <c r="H35" s="72" t="s">
        <v>66</v>
      </c>
      <c r="I35" s="71" t="n">
        <f aca="false">SUMIF($I$11:$I$22,H35,$K$11:$K$22)</f>
        <v>0</v>
      </c>
    </row>
    <row r="36" customFormat="false" ht="15" hidden="false" customHeight="false" outlineLevel="0" collapsed="false">
      <c r="B36" s="73" t="n">
        <f aca="false">SUM(D35:D39)</f>
        <v>79.46</v>
      </c>
      <c r="C36" s="74" t="s">
        <v>67</v>
      </c>
      <c r="D36" s="75" t="n">
        <f aca="false">SUMIF($D$11:$D$32,C36,$F$11:$F$32)</f>
        <v>56.1</v>
      </c>
      <c r="H36" s="76" t="s">
        <v>35</v>
      </c>
      <c r="I36" s="75" t="n">
        <f aca="false">SUMIF($I$11:$I$22,H36,$K$11:$K$22)</f>
        <v>37</v>
      </c>
    </row>
    <row r="37" customFormat="false" ht="15" hidden="false" customHeight="false" outlineLevel="0" collapsed="false">
      <c r="C37" s="74" t="s">
        <v>68</v>
      </c>
      <c r="D37" s="75" t="n">
        <f aca="false">SUMIF($D$11:$D$32,C37,$F$11:$F$32)</f>
        <v>0</v>
      </c>
      <c r="H37" s="76" t="s">
        <v>69</v>
      </c>
      <c r="I37" s="75" t="n">
        <f aca="false">SUMIF($I$11:$I$22,H37,$K$11:$K$22)</f>
        <v>0</v>
      </c>
    </row>
    <row r="38" customFormat="false" ht="15" hidden="false" customHeight="false" outlineLevel="0" collapsed="false">
      <c r="C38" s="74" t="s">
        <v>70</v>
      </c>
      <c r="D38" s="75" t="n">
        <f aca="false">SUMIF($D$11:$D$32,C38,$F$11:$F$32)</f>
        <v>0</v>
      </c>
      <c r="H38" s="76" t="s">
        <v>71</v>
      </c>
      <c r="I38" s="75" t="n">
        <f aca="false">SUMIF($I$11:$I$22,H38,$K$11:$K$22)</f>
        <v>0</v>
      </c>
    </row>
    <row r="39" customFormat="false" ht="15" hidden="false" customHeight="false" outlineLevel="0" collapsed="false">
      <c r="C39" s="77"/>
      <c r="D39" s="78" t="n">
        <f aca="false">SUMIF($D$11:$D$32,C39,$F$11:$F$32)</f>
        <v>0</v>
      </c>
      <c r="H39" s="76" t="s">
        <v>49</v>
      </c>
      <c r="I39" s="75" t="n">
        <f aca="false">SUMIF($I$11:$I$22,H39,$K$11:$K$22)</f>
        <v>84.69</v>
      </c>
    </row>
    <row r="40" customFormat="false" ht="15" hidden="false" customHeight="false" outlineLevel="0" collapsed="false">
      <c r="C40" s="79"/>
      <c r="D40" s="80"/>
      <c r="H40" s="76" t="s">
        <v>72</v>
      </c>
      <c r="I40" s="75" t="n">
        <f aca="false">SUMIF($I$11:$I$22,H40,$K$11:$K$22)</f>
        <v>210</v>
      </c>
    </row>
    <row r="41" customFormat="false" ht="15" hidden="false" customHeight="false" outlineLevel="0" collapsed="false">
      <c r="B41" s="69" t="s">
        <v>50</v>
      </c>
      <c r="C41" s="70" t="s">
        <v>73</v>
      </c>
      <c r="D41" s="71" t="n">
        <f aca="false">SUMIF($D$11:$D$32,C41,$F$11:$F$32)</f>
        <v>0</v>
      </c>
      <c r="H41" s="76" t="s">
        <v>74</v>
      </c>
      <c r="I41" s="75" t="n">
        <f aca="false">SUMIF($I$11:$I$22,H41,$K$11:$K$22)</f>
        <v>0</v>
      </c>
    </row>
    <row r="42" customFormat="false" ht="15" hidden="false" customHeight="false" outlineLevel="0" collapsed="false">
      <c r="B42" s="73" t="n">
        <f aca="false">SUBTOTAL(9,D41:D48)</f>
        <v>190.31</v>
      </c>
      <c r="C42" s="74" t="s">
        <v>75</v>
      </c>
      <c r="D42" s="75" t="n">
        <f aca="false">SUMIF($D$11:$D$32,C42,$F$11:$F$32)</f>
        <v>155</v>
      </c>
      <c r="H42" s="76" t="s">
        <v>42</v>
      </c>
      <c r="I42" s="75" t="n">
        <f aca="false">SUMIF($I$11:$I$22,H42,$K$11:$K$22)</f>
        <v>150</v>
      </c>
    </row>
    <row r="43" customFormat="false" ht="15" hidden="false" customHeight="false" outlineLevel="0" collapsed="false">
      <c r="C43" s="74" t="s">
        <v>76</v>
      </c>
      <c r="D43" s="75" t="n">
        <f aca="false">SUMIF($D$11:$D$32,C43,$F$11:$F$32)</f>
        <v>0</v>
      </c>
      <c r="H43" s="76" t="s">
        <v>77</v>
      </c>
      <c r="I43" s="75" t="n">
        <f aca="false">SUMIF($I$11:$I$22,H43,$K$11:$K$22)</f>
        <v>0</v>
      </c>
    </row>
    <row r="44" customFormat="false" ht="15" hidden="false" customHeight="false" outlineLevel="0" collapsed="false">
      <c r="C44" s="74" t="s">
        <v>78</v>
      </c>
      <c r="D44" s="75" t="n">
        <f aca="false">SUMIF($D$11:$D$32,C44,$F$11:$F$32)</f>
        <v>0</v>
      </c>
      <c r="H44" s="76" t="s">
        <v>79</v>
      </c>
      <c r="I44" s="75" t="n">
        <f aca="false">SUMIF($I$11:$I$22,H44,$K$11:$K$22)</f>
        <v>0</v>
      </c>
    </row>
    <row r="45" customFormat="false" ht="15" hidden="false" customHeight="false" outlineLevel="0" collapsed="false">
      <c r="C45" s="74" t="s">
        <v>80</v>
      </c>
      <c r="D45" s="75" t="n">
        <f aca="false">SUMIF($D$11:$D$32,C45,$F$11:$F$32)</f>
        <v>0</v>
      </c>
      <c r="H45" s="81"/>
      <c r="I45" s="78" t="n">
        <f aca="false">SUMIF($I$11:$I$22,H45,$K$11:$K$22)</f>
        <v>0</v>
      </c>
    </row>
    <row r="46" customFormat="false" ht="15" hidden="false" customHeight="false" outlineLevel="0" collapsed="false">
      <c r="C46" s="74" t="s">
        <v>51</v>
      </c>
      <c r="D46" s="75" t="n">
        <f aca="false">SUMIF($D$11:$D$32,C46,$F$11:$F$32)</f>
        <v>35.31</v>
      </c>
    </row>
    <row r="47" customFormat="false" ht="15" hidden="false" customHeight="false" outlineLevel="0" collapsed="false">
      <c r="C47" s="82"/>
      <c r="D47" s="83" t="n">
        <f aca="false">SUMIF($D$11:$D$32,C47,$F$11:$F$32)</f>
        <v>0</v>
      </c>
    </row>
    <row r="48" customFormat="false" ht="15" hidden="false" customHeight="false" outlineLevel="0" collapsed="false">
      <c r="C48" s="77"/>
      <c r="D48" s="78" t="n">
        <f aca="false">SUMIF($D$11:$D$32,C48,$F$11:$F$32)</f>
        <v>0</v>
      </c>
    </row>
    <row r="49" customFormat="false" ht="15" hidden="false" customHeight="false" outlineLevel="0" collapsed="false">
      <c r="D49" s="80"/>
    </row>
    <row r="50" customFormat="false" ht="15" hidden="false" customHeight="false" outlineLevel="0" collapsed="false">
      <c r="B50" s="69" t="s">
        <v>32</v>
      </c>
      <c r="C50" s="70" t="s">
        <v>81</v>
      </c>
      <c r="D50" s="71" t="n">
        <f aca="false">SUMIF($D$11:$D$32,C50,$F$11:$F$32)</f>
        <v>37.5</v>
      </c>
    </row>
    <row r="51" customFormat="false" ht="15" hidden="false" customHeight="false" outlineLevel="0" collapsed="false">
      <c r="B51" s="73" t="n">
        <f aca="false">SUM(D50:D56)</f>
        <v>153.2</v>
      </c>
      <c r="C51" s="74" t="s">
        <v>57</v>
      </c>
      <c r="D51" s="75" t="n">
        <f aca="false">SUMIF($D$11:$D$32,C51,$F$11:$F$32)</f>
        <v>0</v>
      </c>
    </row>
    <row r="52" customFormat="false" ht="15" hidden="false" customHeight="false" outlineLevel="0" collapsed="false">
      <c r="C52" s="74" t="s">
        <v>82</v>
      </c>
      <c r="D52" s="75" t="n">
        <f aca="false">SUMIF($D$11:$D$32,C52,$F$11:$F$32)</f>
        <v>0</v>
      </c>
    </row>
    <row r="53" customFormat="false" ht="15" hidden="false" customHeight="false" outlineLevel="0" collapsed="false">
      <c r="C53" s="74" t="s">
        <v>33</v>
      </c>
      <c r="D53" s="75" t="n">
        <f aca="false">SUMIF($D$11:$D$32,C53,$F$11:$F$32)</f>
        <v>115.7</v>
      </c>
    </row>
    <row r="54" customFormat="false" ht="15" hidden="false" customHeight="false" outlineLevel="0" collapsed="false">
      <c r="C54" s="74" t="s">
        <v>83</v>
      </c>
      <c r="D54" s="75" t="n">
        <f aca="false">SUMIF($D$11:$D$32,C54,$F$11:$F$32)</f>
        <v>0</v>
      </c>
    </row>
    <row r="55" customFormat="false" ht="15" hidden="false" customHeight="false" outlineLevel="0" collapsed="false">
      <c r="C55" s="74" t="s">
        <v>59</v>
      </c>
      <c r="D55" s="75" t="n">
        <f aca="false">SUMIF($D$11:$D$32,C55,$F$11:$F$32)</f>
        <v>0</v>
      </c>
    </row>
    <row r="56" customFormat="false" ht="15" hidden="false" customHeight="false" outlineLevel="0" collapsed="false">
      <c r="C56" s="64"/>
      <c r="D56" s="78" t="n">
        <f aca="false">SUMIF($D$11:$D$32,C56,$F$11:$F$32)</f>
        <v>0</v>
      </c>
    </row>
    <row r="57" customFormat="false" ht="15" hidden="false" customHeight="false" outlineLevel="0" collapsed="false">
      <c r="D57" s="80"/>
    </row>
    <row r="58" customFormat="false" ht="15" hidden="false" customHeight="false" outlineLevel="0" collapsed="false">
      <c r="B58" s="69" t="s">
        <v>39</v>
      </c>
      <c r="C58" s="70" t="s">
        <v>84</v>
      </c>
      <c r="D58" s="71" t="n">
        <f aca="false">SUMIF($D$11:$D$32,C58,$F$11:$F$32)</f>
        <v>0</v>
      </c>
    </row>
    <row r="59" customFormat="false" ht="15" hidden="false" customHeight="false" outlineLevel="0" collapsed="false">
      <c r="B59" s="73" t="n">
        <f aca="false">SUM(D58:D64)</f>
        <v>48.5</v>
      </c>
      <c r="C59" s="74" t="s">
        <v>40</v>
      </c>
      <c r="D59" s="75" t="n">
        <f aca="false">SUMIF($D$11:$D$32,C59,$F$11:$F$32)</f>
        <v>0</v>
      </c>
    </row>
    <row r="60" customFormat="false" ht="15" hidden="false" customHeight="false" outlineLevel="0" collapsed="false">
      <c r="C60" s="74" t="s">
        <v>85</v>
      </c>
      <c r="D60" s="75" t="n">
        <f aca="false">SUMIF($D$11:$D$32,C60,$F$11:$F$32)</f>
        <v>0</v>
      </c>
    </row>
    <row r="61" customFormat="false" ht="15" hidden="false" customHeight="false" outlineLevel="0" collapsed="false">
      <c r="C61" s="74" t="s">
        <v>86</v>
      </c>
      <c r="D61" s="75" t="n">
        <f aca="false">SUMIF($D$11:$D$32,C61,$F$11:$F$32)</f>
        <v>0</v>
      </c>
    </row>
    <row r="62" customFormat="false" ht="15" hidden="false" customHeight="false" outlineLevel="0" collapsed="false">
      <c r="C62" s="74" t="s">
        <v>47</v>
      </c>
      <c r="D62" s="75" t="n">
        <f aca="false">SUMIF($D$11:$D$32,C62,$F$11:$F$32)</f>
        <v>48.5</v>
      </c>
    </row>
    <row r="63" customFormat="false" ht="15" hidden="false" customHeight="false" outlineLevel="0" collapsed="false">
      <c r="C63" s="74" t="s">
        <v>87</v>
      </c>
      <c r="D63" s="75" t="n">
        <f aca="false">SUMIF($D$11:$D$32,C63,$F$11:$F$32)</f>
        <v>0</v>
      </c>
    </row>
    <row r="64" customFormat="false" ht="15" hidden="false" customHeight="false" outlineLevel="0" collapsed="false">
      <c r="C64" s="64"/>
      <c r="D64" s="78" t="n">
        <f aca="false">SUMIF($D$11:$D$32,C64,$F$11:$F$32)</f>
        <v>0</v>
      </c>
    </row>
    <row r="65" customFormat="false" ht="15" hidden="false" customHeight="false" outlineLevel="0" collapsed="false">
      <c r="D65" s="80"/>
    </row>
    <row r="66" customFormat="false" ht="15" hidden="false" customHeight="false" outlineLevel="0" collapsed="false">
      <c r="B66" s="69" t="s">
        <v>88</v>
      </c>
      <c r="C66" s="70" t="s">
        <v>89</v>
      </c>
      <c r="D66" s="71" t="n">
        <f aca="false">SUMIF($D$11:$D$32,C66,$F$11:$F$32)</f>
        <v>0</v>
      </c>
    </row>
    <row r="67" customFormat="false" ht="15" hidden="false" customHeight="false" outlineLevel="0" collapsed="false">
      <c r="B67" s="73" t="n">
        <f aca="false">SUM(D66:D72)</f>
        <v>0</v>
      </c>
      <c r="C67" s="74" t="s">
        <v>90</v>
      </c>
      <c r="D67" s="75" t="n">
        <f aca="false">SUMIF($D$11:$D$32,C67,$F$11:$F$32)</f>
        <v>0</v>
      </c>
    </row>
    <row r="68" customFormat="false" ht="15" hidden="false" customHeight="false" outlineLevel="0" collapsed="false">
      <c r="C68" s="74" t="s">
        <v>91</v>
      </c>
      <c r="D68" s="75" t="n">
        <f aca="false">SUMIF($D$11:$D$32,C68,$F$11:$F$32)</f>
        <v>0</v>
      </c>
    </row>
    <row r="69" customFormat="false" ht="15" hidden="false" customHeight="false" outlineLevel="0" collapsed="false">
      <c r="C69" s="74" t="s">
        <v>92</v>
      </c>
      <c r="D69" s="75" t="n">
        <f aca="false">SUMIF($D$11:$D$32,C69,$F$11:$F$32)</f>
        <v>0</v>
      </c>
    </row>
    <row r="70" customFormat="false" ht="15" hidden="false" customHeight="false" outlineLevel="0" collapsed="false">
      <c r="C70" s="74" t="s">
        <v>93</v>
      </c>
      <c r="D70" s="75" t="n">
        <f aca="false">SUMIF($D$11:$D$32,C70,$F$11:$F$32)</f>
        <v>0</v>
      </c>
    </row>
    <row r="71" customFormat="false" ht="15" hidden="false" customHeight="false" outlineLevel="0" collapsed="false">
      <c r="C71" s="74" t="s">
        <v>94</v>
      </c>
      <c r="D71" s="75" t="n">
        <f aca="false">SUMIF($D$11:$D$32,C71,$F$11:$F$32)</f>
        <v>0</v>
      </c>
    </row>
    <row r="72" customFormat="false" ht="15" hidden="false" customHeight="false" outlineLevel="0" collapsed="false">
      <c r="C72" s="64"/>
      <c r="D72" s="78" t="n">
        <f aca="false">SUMIF($D$11:$D$32,C72,$F$11:$F$32)</f>
        <v>0</v>
      </c>
    </row>
    <row r="73" customFormat="false" ht="15" hidden="false" customHeight="false" outlineLevel="0" collapsed="false">
      <c r="D73" s="80"/>
    </row>
    <row r="74" customFormat="false" ht="15" hidden="false" customHeight="false" outlineLevel="0" collapsed="false">
      <c r="B74" s="69" t="s">
        <v>77</v>
      </c>
      <c r="C74" s="70" t="s">
        <v>95</v>
      </c>
      <c r="D74" s="71" t="n">
        <f aca="false">SUMIF($D$11:$D$32,C74,$F$11:$F$32)</f>
        <v>0</v>
      </c>
    </row>
    <row r="75" customFormat="false" ht="15" hidden="false" customHeight="false" outlineLevel="0" collapsed="false">
      <c r="B75" s="73" t="n">
        <f aca="false">SUM(D74:D80)</f>
        <v>0</v>
      </c>
      <c r="C75" s="74" t="s">
        <v>96</v>
      </c>
      <c r="D75" s="75" t="n">
        <f aca="false">SUMIF($D$11:$D$32,C75,$F$11:$F$32)</f>
        <v>0</v>
      </c>
    </row>
    <row r="76" customFormat="false" ht="15" hidden="false" customHeight="false" outlineLevel="0" collapsed="false">
      <c r="C76" s="74" t="s">
        <v>97</v>
      </c>
      <c r="D76" s="75" t="n">
        <f aca="false">SUMIF($D$11:$D$32,C76,$F$11:$F$32)</f>
        <v>0</v>
      </c>
    </row>
    <row r="77" customFormat="false" ht="15" hidden="false" customHeight="false" outlineLevel="0" collapsed="false">
      <c r="C77" s="74" t="s">
        <v>98</v>
      </c>
      <c r="D77" s="75" t="n">
        <f aca="false">SUMIF($D$11:$D$32,C77,$F$11:$F$32)</f>
        <v>0</v>
      </c>
    </row>
    <row r="78" customFormat="false" ht="15" hidden="false" customHeight="false" outlineLevel="0" collapsed="false">
      <c r="C78" s="74"/>
      <c r="D78" s="75" t="n">
        <f aca="false">SUMIF($D$11:$D$32,C78,$F$11:$F$32)</f>
        <v>0</v>
      </c>
    </row>
    <row r="79" customFormat="false" ht="15" hidden="false" customHeight="false" outlineLevel="0" collapsed="false">
      <c r="C79" s="74"/>
      <c r="D79" s="75" t="n">
        <f aca="false">SUMIF($D$11:$D$32,C79,$F$11:$F$32)</f>
        <v>0</v>
      </c>
    </row>
    <row r="80" customFormat="false" ht="15" hidden="false" customHeight="false" outlineLevel="0" collapsed="false">
      <c r="C80" s="64"/>
      <c r="D80" s="78" t="n">
        <f aca="false">SUMIF($D$11:$D$32,C80,$F$11:$F$32)</f>
        <v>0</v>
      </c>
    </row>
    <row r="81" customFormat="false" ht="15" hidden="false" customHeight="false" outlineLevel="0" collapsed="false">
      <c r="D81" s="80"/>
    </row>
    <row r="82" customFormat="false" ht="15" hidden="false" customHeight="false" outlineLevel="0" collapsed="false">
      <c r="B82" s="69" t="s">
        <v>99</v>
      </c>
      <c r="C82" s="70" t="s">
        <v>100</v>
      </c>
      <c r="D82" s="71" t="n">
        <f aca="false">SUMIF($D$11:$D$32,C82,$F$11:$F$32)</f>
        <v>0</v>
      </c>
    </row>
    <row r="83" customFormat="false" ht="15" hidden="false" customHeight="false" outlineLevel="0" collapsed="false">
      <c r="B83" s="73" t="n">
        <f aca="false">SUM(D82:D88)</f>
        <v>50</v>
      </c>
      <c r="C83" s="74" t="s">
        <v>101</v>
      </c>
      <c r="D83" s="75" t="n">
        <f aca="false">SUMIF($D$11:$D$32,C83,$F$11:$F$32)</f>
        <v>50</v>
      </c>
    </row>
    <row r="84" customFormat="false" ht="15" hidden="false" customHeight="false" outlineLevel="0" collapsed="false">
      <c r="C84" s="74" t="s">
        <v>102</v>
      </c>
      <c r="D84" s="75" t="n">
        <f aca="false">SUMIF($D$11:$D$32,C84,$F$11:$F$32)</f>
        <v>0</v>
      </c>
    </row>
    <row r="85" customFormat="false" ht="15" hidden="false" customHeight="false" outlineLevel="0" collapsed="false">
      <c r="C85" s="74" t="s">
        <v>103</v>
      </c>
      <c r="D85" s="75" t="n">
        <f aca="false">SUMIF($D$11:$D$32,C85,$F$11:$F$32)</f>
        <v>0</v>
      </c>
    </row>
    <row r="86" customFormat="false" ht="15" hidden="false" customHeight="false" outlineLevel="0" collapsed="false">
      <c r="C86" s="74" t="s">
        <v>104</v>
      </c>
      <c r="D86" s="75" t="n">
        <f aca="false">SUMIF($D$11:$D$32,C86,$F$11:$F$32)</f>
        <v>0</v>
      </c>
    </row>
    <row r="87" customFormat="false" ht="15" hidden="false" customHeight="false" outlineLevel="0" collapsed="false">
      <c r="C87" s="74" t="s">
        <v>105</v>
      </c>
      <c r="D87" s="75" t="n">
        <f aca="false">SUMIF($D$11:$D$32,C87,$F$11:$F$32)</f>
        <v>0</v>
      </c>
    </row>
    <row r="88" customFormat="false" ht="15" hidden="false" customHeight="false" outlineLevel="0" collapsed="false">
      <c r="C88" s="64"/>
      <c r="D88" s="78" t="n">
        <f aca="false">SUMIF($D$11:$D$32,C88,$F$11:$F$32)</f>
        <v>0</v>
      </c>
    </row>
    <row r="90" customFormat="false" ht="15" hidden="false" customHeight="false" outlineLevel="0" collapsed="false">
      <c r="B90" s="69" t="s">
        <v>79</v>
      </c>
      <c r="C90" s="70"/>
      <c r="D90" s="71" t="n">
        <f aca="false">SUMIF(C11:C32,B90,F11:F32)</f>
        <v>201.64</v>
      </c>
    </row>
  </sheetData>
  <mergeCells count="3">
    <mergeCell ref="H2:K2"/>
    <mergeCell ref="B9:F9"/>
    <mergeCell ref="H9:K9"/>
  </mergeCells>
  <dataValidations count="4">
    <dataValidation allowBlank="true" errorStyle="stop" operator="between" showDropDown="false" showErrorMessage="true" showInputMessage="true" sqref="D11:D32" type="list">
      <formula1>INDIRECT(C11)</formula1>
      <formula2>0</formula2>
    </dataValidation>
    <dataValidation allowBlank="true" errorStyle="stop" operator="between" showDropDown="false" showErrorMessage="true" showInputMessage="true" sqref="I11:I22" type="list">
      <formula1>Modelo!$R$3:$R$14</formula1>
      <formula2>0</formula2>
    </dataValidation>
    <dataValidation allowBlank="true" errorStyle="stop" operator="between" showDropDown="false" showErrorMessage="true" showInputMessage="true" sqref="C12:C20 C22:C32" type="list">
      <formula1>Modelo!$P$3:$P$10</formula1>
      <formula2>0</formula2>
    </dataValidation>
    <dataValidation allowBlank="true" errorStyle="stop" operator="between" showDropDown="false" showErrorMessage="true" showInputMessage="true" sqref="C11 C21" type="list">
      <formula1>Modelo!$P$3:$P$11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DD7EE"/>
    <pageSetUpPr fitToPage="false"/>
  </sheetPr>
  <dimension ref="B2:Q90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29" activeCellId="0" sqref="A2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.15"/>
    <col collapsed="false" customWidth="true" hidden="false" outlineLevel="0" max="3" min="3" style="1" width="41.57"/>
    <col collapsed="false" customWidth="true" hidden="false" outlineLevel="0" max="4" min="4" style="1" width="18.42"/>
    <col collapsed="false" customWidth="true" hidden="false" outlineLevel="0" max="5" min="5" style="1" width="22"/>
    <col collapsed="false" customWidth="true" hidden="false" outlineLevel="0" max="6" min="6" style="1" width="14.86"/>
    <col collapsed="false" customWidth="true" hidden="false" outlineLevel="0" max="7" min="7" style="1" width="2.57"/>
    <col collapsed="false" customWidth="true" hidden="false" outlineLevel="0" max="8" min="8" style="1" width="12.86"/>
    <col collapsed="false" customWidth="true" hidden="false" outlineLevel="0" max="9" min="9" style="1" width="19.57"/>
    <col collapsed="false" customWidth="true" hidden="false" outlineLevel="0" max="10" min="10" style="1" width="11.71"/>
    <col collapsed="false" customWidth="true" hidden="false" outlineLevel="0" max="11" min="11" style="1" width="34.42"/>
    <col collapsed="false" customWidth="true" hidden="false" outlineLevel="0" max="12" min="12" style="1" width="15"/>
    <col collapsed="false" customWidth="true" hidden="false" outlineLevel="0" max="13" min="13" style="1" width="12"/>
    <col collapsed="false" customWidth="true" hidden="false" outlineLevel="0" max="14" min="14" style="1" width="16.71"/>
    <col collapsed="false" customWidth="true" hidden="false" outlineLevel="0" max="15" min="15" style="1" width="15.71"/>
    <col collapsed="false" customWidth="true" hidden="false" outlineLevel="0" max="16" min="16" style="1" width="14.29"/>
    <col collapsed="false" customWidth="true" hidden="false" outlineLevel="0" max="17" min="17" style="1" width="13.15"/>
  </cols>
  <sheetData>
    <row r="2" customFormat="false" ht="15" hidden="false" customHeight="false" outlineLevel="0" collapsed="false">
      <c r="B2" s="2" t="s">
        <v>147</v>
      </c>
      <c r="C2" s="3" t="s">
        <v>1</v>
      </c>
      <c r="D2" s="4" t="s">
        <v>2</v>
      </c>
      <c r="E2" s="3"/>
      <c r="F2" s="5" t="s">
        <v>3</v>
      </c>
      <c r="H2" s="6"/>
      <c r="I2" s="6"/>
      <c r="J2" s="6"/>
      <c r="K2" s="6"/>
      <c r="N2" s="1" t="s">
        <v>148</v>
      </c>
      <c r="O2" s="1" t="s">
        <v>149</v>
      </c>
      <c r="P2" s="85"/>
    </row>
    <row r="3" customFormat="false" ht="15" hidden="false" customHeight="false" outlineLevel="0" collapsed="false">
      <c r="B3" s="7" t="s">
        <v>4</v>
      </c>
      <c r="C3" s="8"/>
      <c r="D3" s="9" t="n">
        <f aca="false">2500-O3-50</f>
        <v>146</v>
      </c>
      <c r="E3" s="10" t="s">
        <v>1</v>
      </c>
      <c r="F3" s="11" t="n">
        <f aca="false">SUM(D3,D5,D6,D7,D4,L3,N3,L5)</f>
        <v>4523.74</v>
      </c>
      <c r="H3" s="12"/>
      <c r="I3" s="2" t="s">
        <v>6</v>
      </c>
      <c r="K3" s="13" t="s">
        <v>7</v>
      </c>
      <c r="L3" s="14" t="n">
        <f aca="false">(Abr!L3+320+840)</f>
        <v>2503</v>
      </c>
      <c r="N3" s="12" t="n">
        <f aca="false">L3-O3</f>
        <v>199</v>
      </c>
      <c r="O3" s="12" t="n">
        <f aca="false">300+500+150+400+50+630+10+210+54</f>
        <v>2304</v>
      </c>
      <c r="P3" s="12"/>
      <c r="Q3" s="12"/>
    </row>
    <row r="4" customFormat="false" ht="15" hidden="false" customHeight="false" outlineLevel="0" collapsed="false">
      <c r="B4" s="15" t="s">
        <v>8</v>
      </c>
      <c r="C4" s="16"/>
      <c r="D4" s="17" t="n">
        <f aca="false">SUM(P10:P25)</f>
        <v>20</v>
      </c>
      <c r="E4" s="18" t="s">
        <v>9</v>
      </c>
      <c r="F4" s="19" t="n">
        <f aca="false">SUM(F11:F26)</f>
        <v>3935.01</v>
      </c>
      <c r="I4" s="20" t="n">
        <f aca="true">TODAY()</f>
        <v>46242</v>
      </c>
      <c r="K4" s="13" t="s">
        <v>150</v>
      </c>
      <c r="L4" s="14" t="n">
        <v>0</v>
      </c>
      <c r="O4" s="12"/>
      <c r="P4" s="12"/>
    </row>
    <row r="5" customFormat="false" ht="15" hidden="false" customHeight="false" outlineLevel="0" collapsed="false">
      <c r="B5" s="21" t="s">
        <v>12</v>
      </c>
      <c r="C5" s="22"/>
      <c r="D5" s="23" t="n">
        <v>60</v>
      </c>
      <c r="E5" s="24" t="s">
        <v>13</v>
      </c>
      <c r="F5" s="25" t="n">
        <f aca="false">D4</f>
        <v>20</v>
      </c>
      <c r="I5" s="26" t="s">
        <v>14</v>
      </c>
      <c r="K5" s="13" t="s">
        <v>15</v>
      </c>
      <c r="L5" s="14" t="n">
        <f aca="false">Abr!L5+SUM(P10:P25)</f>
        <v>156.5</v>
      </c>
      <c r="O5" s="12"/>
      <c r="P5" s="12"/>
    </row>
    <row r="6" customFormat="false" ht="15" hidden="false" customHeight="false" outlineLevel="0" collapsed="false">
      <c r="B6" s="21" t="s">
        <v>16</v>
      </c>
      <c r="C6" s="22"/>
      <c r="D6" s="23"/>
      <c r="E6" s="27" t="s">
        <v>17</v>
      </c>
      <c r="F6" s="28" t="n">
        <f aca="false">SUM(K11:K22)</f>
        <v>597.03</v>
      </c>
      <c r="I6" s="29" t="n">
        <v>46173</v>
      </c>
      <c r="K6" s="30" t="s">
        <v>18</v>
      </c>
      <c r="L6" s="86"/>
      <c r="M6" s="1" t="s">
        <v>151</v>
      </c>
      <c r="O6" s="87"/>
    </row>
    <row r="7" customFormat="false" ht="15" hidden="false" customHeight="false" outlineLevel="0" collapsed="false">
      <c r="B7" s="32" t="s">
        <v>107</v>
      </c>
      <c r="C7" s="33"/>
      <c r="D7" s="34" t="n">
        <f aca="false">Abr!F7</f>
        <v>1439.24</v>
      </c>
      <c r="E7" s="35" t="s">
        <v>19</v>
      </c>
      <c r="F7" s="36" t="n">
        <f aca="false">F3-F4-F6</f>
        <v>-8.2999999999995</v>
      </c>
      <c r="L7" s="12"/>
      <c r="P7" s="12"/>
    </row>
    <row r="9" customFormat="false" ht="15" hidden="false" customHeight="false" outlineLevel="0" collapsed="false">
      <c r="B9" s="37" t="s">
        <v>20</v>
      </c>
      <c r="C9" s="37"/>
      <c r="D9" s="37"/>
      <c r="E9" s="37"/>
      <c r="F9" s="37"/>
      <c r="H9" s="38" t="s">
        <v>21</v>
      </c>
      <c r="I9" s="38"/>
      <c r="J9" s="38"/>
      <c r="K9" s="38"/>
      <c r="M9" s="39" t="s">
        <v>108</v>
      </c>
      <c r="N9" s="40" t="s">
        <v>23</v>
      </c>
      <c r="O9" s="41" t="s">
        <v>24</v>
      </c>
      <c r="P9" s="42" t="s">
        <v>25</v>
      </c>
    </row>
    <row r="10" customFormat="false" ht="15" hidden="false" customHeight="false" outlineLevel="0" collapsed="false">
      <c r="B10" s="5" t="s">
        <v>6</v>
      </c>
      <c r="C10" s="5" t="s">
        <v>26</v>
      </c>
      <c r="D10" s="5" t="s">
        <v>27</v>
      </c>
      <c r="E10" s="5" t="s">
        <v>28</v>
      </c>
      <c r="F10" s="5" t="s">
        <v>2</v>
      </c>
      <c r="H10" s="5" t="s">
        <v>6</v>
      </c>
      <c r="I10" s="5" t="s">
        <v>29</v>
      </c>
      <c r="J10" s="5" t="s">
        <v>27</v>
      </c>
      <c r="K10" s="5" t="s">
        <v>2</v>
      </c>
      <c r="M10" s="88" t="s">
        <v>152</v>
      </c>
      <c r="N10" s="44" t="n">
        <v>46144</v>
      </c>
      <c r="O10" s="45" t="s">
        <v>153</v>
      </c>
      <c r="P10" s="46" t="n">
        <v>20</v>
      </c>
    </row>
    <row r="11" customFormat="false" ht="15" hidden="false" customHeight="false" outlineLevel="0" collapsed="false">
      <c r="B11" s="47" t="n">
        <v>46144</v>
      </c>
      <c r="C11" s="48" t="s">
        <v>50</v>
      </c>
      <c r="D11" s="48" t="s">
        <v>55</v>
      </c>
      <c r="E11" s="48" t="s">
        <v>46</v>
      </c>
      <c r="F11" s="49" t="n">
        <f aca="false">10+1.69</f>
        <v>11.69</v>
      </c>
      <c r="H11" s="50" t="n">
        <v>46144</v>
      </c>
      <c r="I11" s="51" t="s">
        <v>49</v>
      </c>
      <c r="J11" s="51"/>
      <c r="K11" s="46" t="n">
        <f aca="false">75.03+13.18+30+13.22</f>
        <v>131.43</v>
      </c>
      <c r="M11" s="52"/>
      <c r="N11" s="53"/>
      <c r="O11" s="54"/>
      <c r="P11" s="55"/>
    </row>
    <row r="12" customFormat="false" ht="15" hidden="false" customHeight="false" outlineLevel="0" collapsed="false">
      <c r="B12" s="56" t="n">
        <v>46145</v>
      </c>
      <c r="C12" s="57" t="s">
        <v>64</v>
      </c>
      <c r="D12" s="57" t="s">
        <v>154</v>
      </c>
      <c r="E12" s="16" t="s">
        <v>155</v>
      </c>
      <c r="F12" s="58" t="n">
        <v>28</v>
      </c>
      <c r="H12" s="59" t="n">
        <v>46145</v>
      </c>
      <c r="I12" s="51" t="s">
        <v>35</v>
      </c>
      <c r="J12" s="60" t="s">
        <v>120</v>
      </c>
      <c r="K12" s="55" t="n">
        <f aca="false">6.8+6.8</f>
        <v>13.6</v>
      </c>
      <c r="M12" s="52"/>
      <c r="N12" s="53"/>
      <c r="O12" s="54"/>
      <c r="P12" s="55"/>
    </row>
    <row r="13" customFormat="false" ht="15" hidden="false" customHeight="false" outlineLevel="0" collapsed="false">
      <c r="B13" s="56" t="n">
        <v>46145</v>
      </c>
      <c r="C13" s="57" t="s">
        <v>79</v>
      </c>
      <c r="D13" s="57"/>
      <c r="E13" s="16" t="s">
        <v>156</v>
      </c>
      <c r="F13" s="58" t="n">
        <v>1289.99</v>
      </c>
      <c r="H13" s="59" t="n">
        <v>46147</v>
      </c>
      <c r="I13" s="51" t="s">
        <v>35</v>
      </c>
      <c r="J13" s="60"/>
      <c r="K13" s="55" t="n">
        <v>30</v>
      </c>
      <c r="M13" s="52"/>
      <c r="N13" s="53"/>
      <c r="O13" s="54"/>
      <c r="P13" s="55"/>
    </row>
    <row r="14" customFormat="false" ht="15" hidden="false" customHeight="false" outlineLevel="0" collapsed="false">
      <c r="B14" s="56" t="n">
        <v>46144</v>
      </c>
      <c r="C14" s="57" t="s">
        <v>50</v>
      </c>
      <c r="D14" s="57" t="s">
        <v>51</v>
      </c>
      <c r="E14" s="16" t="s">
        <v>157</v>
      </c>
      <c r="F14" s="58" t="n">
        <v>44.7</v>
      </c>
      <c r="H14" s="59" t="n">
        <v>46150</v>
      </c>
      <c r="I14" s="51" t="s">
        <v>72</v>
      </c>
      <c r="J14" s="60"/>
      <c r="K14" s="55" t="n">
        <f aca="false">2400*0.1</f>
        <v>240</v>
      </c>
      <c r="M14" s="52"/>
      <c r="N14" s="53"/>
      <c r="O14" s="54"/>
      <c r="P14" s="55"/>
    </row>
    <row r="15" customFormat="false" ht="15" hidden="false" customHeight="false" outlineLevel="0" collapsed="false">
      <c r="B15" s="56" t="n">
        <v>46147</v>
      </c>
      <c r="C15" s="57" t="s">
        <v>39</v>
      </c>
      <c r="D15" s="57" t="s">
        <v>47</v>
      </c>
      <c r="E15" s="16" t="s">
        <v>158</v>
      </c>
      <c r="F15" s="58" t="n">
        <v>48</v>
      </c>
      <c r="H15" s="59" t="n">
        <v>46153</v>
      </c>
      <c r="I15" s="51" t="s">
        <v>42</v>
      </c>
      <c r="J15" s="60" t="s">
        <v>116</v>
      </c>
      <c r="K15" s="55" t="n">
        <v>147</v>
      </c>
      <c r="M15" s="52"/>
      <c r="N15" s="53"/>
      <c r="O15" s="54"/>
      <c r="P15" s="55"/>
    </row>
    <row r="16" customFormat="false" ht="15" hidden="false" customHeight="false" outlineLevel="0" collapsed="false">
      <c r="B16" s="56" t="n">
        <v>46151</v>
      </c>
      <c r="C16" s="57" t="s">
        <v>32</v>
      </c>
      <c r="D16" s="57" t="s">
        <v>81</v>
      </c>
      <c r="E16" s="16" t="s">
        <v>159</v>
      </c>
      <c r="F16" s="58" t="n">
        <v>69.9</v>
      </c>
      <c r="H16" s="59" t="n">
        <v>46161</v>
      </c>
      <c r="I16" s="51" t="s">
        <v>129</v>
      </c>
      <c r="J16" s="60"/>
      <c r="K16" s="55" t="n">
        <v>35</v>
      </c>
      <c r="M16" s="52"/>
      <c r="N16" s="53"/>
      <c r="O16" s="54"/>
      <c r="P16" s="55"/>
    </row>
    <row r="17" customFormat="false" ht="15" hidden="false" customHeight="false" outlineLevel="0" collapsed="false">
      <c r="B17" s="56" t="n">
        <v>46151</v>
      </c>
      <c r="C17" s="57" t="s">
        <v>79</v>
      </c>
      <c r="D17" s="57"/>
      <c r="E17" s="16" t="s">
        <v>160</v>
      </c>
      <c r="F17" s="58" t="n">
        <v>350</v>
      </c>
      <c r="H17" s="59"/>
      <c r="I17" s="51"/>
      <c r="J17" s="60"/>
      <c r="K17" s="55"/>
      <c r="M17" s="52"/>
      <c r="N17" s="53"/>
      <c r="O17" s="54"/>
      <c r="P17" s="55"/>
    </row>
    <row r="18" customFormat="false" ht="15" hidden="false" customHeight="false" outlineLevel="0" collapsed="false">
      <c r="B18" s="56" t="n">
        <v>46125</v>
      </c>
      <c r="C18" s="57" t="s">
        <v>79</v>
      </c>
      <c r="D18" s="57"/>
      <c r="E18" s="16" t="s">
        <v>161</v>
      </c>
      <c r="F18" s="58" t="n">
        <v>448.74</v>
      </c>
      <c r="H18" s="59"/>
      <c r="I18" s="51"/>
      <c r="J18" s="60"/>
      <c r="K18" s="55"/>
      <c r="M18" s="52"/>
      <c r="N18" s="53"/>
      <c r="O18" s="54"/>
      <c r="P18" s="55"/>
    </row>
    <row r="19" customFormat="false" ht="15" hidden="false" customHeight="false" outlineLevel="0" collapsed="false">
      <c r="B19" s="56" t="n">
        <v>46157</v>
      </c>
      <c r="C19" s="57" t="s">
        <v>79</v>
      </c>
      <c r="D19" s="57"/>
      <c r="E19" s="16" t="s">
        <v>162</v>
      </c>
      <c r="F19" s="58" t="n">
        <v>281.76</v>
      </c>
      <c r="H19" s="59"/>
      <c r="I19" s="51"/>
      <c r="J19" s="60"/>
      <c r="K19" s="55"/>
      <c r="M19" s="52"/>
      <c r="N19" s="53"/>
      <c r="O19" s="54"/>
      <c r="P19" s="55"/>
    </row>
    <row r="20" customFormat="false" ht="15" hidden="false" customHeight="false" outlineLevel="0" collapsed="false">
      <c r="B20" s="56" t="n">
        <v>46163</v>
      </c>
      <c r="C20" s="57" t="s">
        <v>32</v>
      </c>
      <c r="D20" s="57" t="s">
        <v>33</v>
      </c>
      <c r="E20" s="16" t="s">
        <v>163</v>
      </c>
      <c r="F20" s="58" t="n">
        <v>7</v>
      </c>
      <c r="H20" s="59"/>
      <c r="I20" s="51"/>
      <c r="J20" s="60"/>
      <c r="K20" s="55"/>
      <c r="M20" s="52"/>
      <c r="N20" s="53"/>
      <c r="O20" s="54"/>
      <c r="P20" s="55"/>
    </row>
    <row r="21" customFormat="false" ht="15" hidden="false" customHeight="false" outlineLevel="0" collapsed="false">
      <c r="B21" s="56" t="n">
        <v>46163</v>
      </c>
      <c r="C21" s="57" t="s">
        <v>64</v>
      </c>
      <c r="D21" s="57" t="s">
        <v>154</v>
      </c>
      <c r="E21" s="16"/>
      <c r="F21" s="58" t="n">
        <v>85</v>
      </c>
      <c r="H21" s="59"/>
      <c r="I21" s="51"/>
      <c r="J21" s="60"/>
      <c r="K21" s="55"/>
      <c r="M21" s="52"/>
      <c r="N21" s="53"/>
      <c r="O21" s="54"/>
      <c r="P21" s="55"/>
    </row>
    <row r="22" customFormat="false" ht="15" hidden="false" customHeight="false" outlineLevel="0" collapsed="false">
      <c r="B22" s="56" t="n">
        <v>46163</v>
      </c>
      <c r="C22" s="57" t="s">
        <v>79</v>
      </c>
      <c r="D22" s="57"/>
      <c r="E22" s="16" t="s">
        <v>164</v>
      </c>
      <c r="F22" s="58" t="n">
        <v>394.14</v>
      </c>
      <c r="H22" s="61"/>
      <c r="I22" s="62"/>
      <c r="J22" s="62"/>
      <c r="K22" s="63"/>
      <c r="M22" s="52"/>
      <c r="N22" s="53"/>
      <c r="O22" s="54"/>
      <c r="P22" s="55"/>
    </row>
    <row r="23" customFormat="false" ht="15" hidden="false" customHeight="false" outlineLevel="0" collapsed="false">
      <c r="B23" s="56" t="n">
        <v>46164</v>
      </c>
      <c r="C23" s="57" t="s">
        <v>79</v>
      </c>
      <c r="D23" s="57"/>
      <c r="E23" s="16" t="s">
        <v>165</v>
      </c>
      <c r="F23" s="58" t="n">
        <v>629</v>
      </c>
      <c r="K23" s="12"/>
      <c r="M23" s="52"/>
      <c r="N23" s="53"/>
      <c r="O23" s="54"/>
      <c r="P23" s="55"/>
    </row>
    <row r="24" customFormat="false" ht="15" hidden="false" customHeight="false" outlineLevel="0" collapsed="false">
      <c r="B24" s="56"/>
      <c r="C24" s="57" t="s">
        <v>64</v>
      </c>
      <c r="D24" s="57" t="s">
        <v>62</v>
      </c>
      <c r="E24" s="16"/>
      <c r="F24" s="58" t="n">
        <f aca="false">4.58+9</f>
        <v>13.58</v>
      </c>
      <c r="M24" s="52"/>
      <c r="N24" s="53"/>
      <c r="O24" s="54"/>
      <c r="P24" s="55"/>
    </row>
    <row r="25" customFormat="false" ht="15" hidden="false" customHeight="false" outlineLevel="0" collapsed="false">
      <c r="B25" s="56"/>
      <c r="C25" s="57" t="s">
        <v>79</v>
      </c>
      <c r="D25" s="57"/>
      <c r="E25" s="16" t="s">
        <v>166</v>
      </c>
      <c r="F25" s="58" t="n">
        <v>208.51</v>
      </c>
      <c r="M25" s="64"/>
      <c r="N25" s="65"/>
      <c r="O25" s="66"/>
      <c r="P25" s="63"/>
    </row>
    <row r="26" customFormat="false" ht="15" hidden="false" customHeight="false" outlineLevel="0" collapsed="false">
      <c r="B26" s="56"/>
      <c r="C26" s="57" t="s">
        <v>50</v>
      </c>
      <c r="D26" s="57" t="s">
        <v>51</v>
      </c>
      <c r="E26" s="16"/>
      <c r="F26" s="58" t="n">
        <v>25</v>
      </c>
    </row>
    <row r="27" customFormat="false" ht="15" hidden="false" customHeight="false" outlineLevel="0" collapsed="false">
      <c r="B27" s="56"/>
      <c r="C27" s="57" t="s">
        <v>79</v>
      </c>
      <c r="D27" s="57"/>
      <c r="E27" s="16" t="s">
        <v>167</v>
      </c>
      <c r="F27" s="58" t="n">
        <v>1738.04</v>
      </c>
    </row>
    <row r="28" customFormat="false" ht="15" hidden="false" customHeight="false" outlineLevel="0" collapsed="false">
      <c r="B28" s="56"/>
      <c r="C28" s="57" t="s">
        <v>79</v>
      </c>
      <c r="D28" s="57"/>
      <c r="E28" s="16" t="s">
        <v>168</v>
      </c>
      <c r="F28" s="58" t="n">
        <v>208.51</v>
      </c>
    </row>
    <row r="29" customFormat="false" ht="15" hidden="false" customHeight="false" outlineLevel="0" collapsed="false">
      <c r="B29" s="56"/>
      <c r="C29" s="57"/>
      <c r="D29" s="57"/>
      <c r="E29" s="16"/>
      <c r="F29" s="58"/>
    </row>
    <row r="30" customFormat="false" ht="15" hidden="false" customHeight="false" outlineLevel="0" collapsed="false">
      <c r="B30" s="56"/>
      <c r="C30" s="57"/>
      <c r="D30" s="57"/>
      <c r="E30" s="16"/>
      <c r="F30" s="58"/>
    </row>
    <row r="31" customFormat="false" ht="15" hidden="false" customHeight="false" outlineLevel="0" collapsed="false">
      <c r="B31" s="56"/>
      <c r="C31" s="57"/>
      <c r="D31" s="57"/>
      <c r="E31" s="16"/>
      <c r="F31" s="58"/>
    </row>
    <row r="32" customFormat="false" ht="15" hidden="false" customHeight="false" outlineLevel="0" collapsed="false">
      <c r="B32" s="67"/>
      <c r="C32" s="57"/>
      <c r="D32" s="33"/>
      <c r="E32" s="33"/>
      <c r="F32" s="68"/>
    </row>
    <row r="35" customFormat="false" ht="15" hidden="false" customHeight="false" outlineLevel="0" collapsed="false">
      <c r="B35" s="69" t="s">
        <v>64</v>
      </c>
      <c r="C35" s="70" t="s">
        <v>65</v>
      </c>
      <c r="D35" s="71" t="n">
        <f aca="false">SUMIF($D$11:$D$32,C35,$F$11:$F$32)</f>
        <v>0</v>
      </c>
      <c r="H35" s="72" t="s">
        <v>66</v>
      </c>
      <c r="I35" s="71" t="n">
        <f aca="false">SUMIF($I$11:$I$22,H35,$K$11:$K$22)</f>
        <v>0</v>
      </c>
    </row>
    <row r="36" customFormat="false" ht="15" hidden="false" customHeight="false" outlineLevel="0" collapsed="false">
      <c r="B36" s="73" t="n">
        <f aca="false">SUM(D35:D39)</f>
        <v>0</v>
      </c>
      <c r="C36" s="74" t="s">
        <v>67</v>
      </c>
      <c r="D36" s="75" t="n">
        <f aca="false">SUMIF($D$11:$D$32,C36,$F$11:$F$32)</f>
        <v>0</v>
      </c>
      <c r="H36" s="76" t="s">
        <v>35</v>
      </c>
      <c r="I36" s="75" t="n">
        <f aca="false">SUMIF($I$11:$I$22,H36,$K$11:$K$22)</f>
        <v>43.6</v>
      </c>
    </row>
    <row r="37" customFormat="false" ht="15" hidden="false" customHeight="false" outlineLevel="0" collapsed="false">
      <c r="C37" s="74" t="s">
        <v>68</v>
      </c>
      <c r="D37" s="75" t="n">
        <f aca="false">SUMIF($D$11:$D$32,C37,$F$11:$F$32)</f>
        <v>0</v>
      </c>
      <c r="H37" s="76" t="s">
        <v>69</v>
      </c>
      <c r="I37" s="75" t="n">
        <f aca="false">SUMIF($I$11:$I$22,H37,$K$11:$K$22)</f>
        <v>0</v>
      </c>
    </row>
    <row r="38" customFormat="false" ht="15" hidden="false" customHeight="false" outlineLevel="0" collapsed="false">
      <c r="C38" s="74" t="s">
        <v>70</v>
      </c>
      <c r="D38" s="75" t="n">
        <f aca="false">SUMIF($D$11:$D$32,C38,$F$11:$F$32)</f>
        <v>0</v>
      </c>
      <c r="H38" s="76" t="s">
        <v>71</v>
      </c>
      <c r="I38" s="75" t="n">
        <f aca="false">SUMIF($I$11:$I$22,H38,$K$11:$K$22)</f>
        <v>0</v>
      </c>
    </row>
    <row r="39" customFormat="false" ht="15" hidden="false" customHeight="false" outlineLevel="0" collapsed="false">
      <c r="C39" s="77"/>
      <c r="D39" s="78" t="n">
        <f aca="false">SUMIF($D$11:$D$32,C39,$F$11:$F$32)</f>
        <v>0</v>
      </c>
      <c r="H39" s="76" t="s">
        <v>49</v>
      </c>
      <c r="I39" s="75" t="n">
        <f aca="false">SUMIF($I$11:$I$22,H39,$K$11:$K$22)</f>
        <v>131.43</v>
      </c>
    </row>
    <row r="40" customFormat="false" ht="15" hidden="false" customHeight="false" outlineLevel="0" collapsed="false">
      <c r="C40" s="79"/>
      <c r="D40" s="80"/>
      <c r="H40" s="76" t="s">
        <v>72</v>
      </c>
      <c r="I40" s="75" t="n">
        <f aca="false">SUMIF($I$11:$I$22,H40,$K$11:$K$22)</f>
        <v>240</v>
      </c>
    </row>
    <row r="41" customFormat="false" ht="15" hidden="false" customHeight="false" outlineLevel="0" collapsed="false">
      <c r="B41" s="69" t="s">
        <v>50</v>
      </c>
      <c r="C41" s="70" t="s">
        <v>73</v>
      </c>
      <c r="D41" s="71" t="n">
        <f aca="false">SUMIF($D$11:$D$32,C41,$F$11:$F$32)</f>
        <v>0</v>
      </c>
      <c r="H41" s="76" t="s">
        <v>74</v>
      </c>
      <c r="I41" s="75" t="n">
        <f aca="false">SUMIF($I$11:$I$22,H41,$K$11:$K$22)</f>
        <v>0</v>
      </c>
    </row>
    <row r="42" customFormat="false" ht="15" hidden="false" customHeight="false" outlineLevel="0" collapsed="false">
      <c r="B42" s="73" t="n">
        <f aca="false">SUBTOTAL(9,D41:D48)</f>
        <v>69.7</v>
      </c>
      <c r="C42" s="74" t="s">
        <v>75</v>
      </c>
      <c r="D42" s="75" t="n">
        <f aca="false">SUMIF($D$11:$D$32,C42,$F$11:$F$32)</f>
        <v>0</v>
      </c>
      <c r="H42" s="76" t="s">
        <v>42</v>
      </c>
      <c r="I42" s="75" t="n">
        <f aca="false">SUMIF($I$11:$I$22,H42,$K$11:$K$22)</f>
        <v>147</v>
      </c>
    </row>
    <row r="43" customFormat="false" ht="15" hidden="false" customHeight="false" outlineLevel="0" collapsed="false">
      <c r="C43" s="74" t="s">
        <v>76</v>
      </c>
      <c r="D43" s="75" t="n">
        <f aca="false">SUMIF($D$11:$D$32,C43,$F$11:$F$32)</f>
        <v>0</v>
      </c>
      <c r="H43" s="76" t="s">
        <v>77</v>
      </c>
      <c r="I43" s="75" t="n">
        <f aca="false">SUMIF($I$11:$I$22,H43,$K$11:$K$22)</f>
        <v>0</v>
      </c>
    </row>
    <row r="44" customFormat="false" ht="15" hidden="false" customHeight="false" outlineLevel="0" collapsed="false">
      <c r="C44" s="74" t="s">
        <v>78</v>
      </c>
      <c r="D44" s="75" t="n">
        <f aca="false">SUMIF($D$11:$D$32,C44,$F$11:$F$32)</f>
        <v>0</v>
      </c>
      <c r="H44" s="76" t="s">
        <v>79</v>
      </c>
      <c r="I44" s="75" t="n">
        <f aca="false">SUMIF($I$11:$I$22,H44,$K$11:$K$22)</f>
        <v>0</v>
      </c>
    </row>
    <row r="45" customFormat="false" ht="15" hidden="false" customHeight="false" outlineLevel="0" collapsed="false">
      <c r="C45" s="74" t="s">
        <v>80</v>
      </c>
      <c r="D45" s="75" t="n">
        <f aca="false">SUMIF($D$11:$D$32,C45,$F$11:$F$32)</f>
        <v>0</v>
      </c>
      <c r="H45" s="81"/>
      <c r="I45" s="78" t="n">
        <f aca="false">SUMIF($I$11:$I$22,H45,$K$11:$K$22)</f>
        <v>0</v>
      </c>
    </row>
    <row r="46" customFormat="false" ht="15" hidden="false" customHeight="false" outlineLevel="0" collapsed="false">
      <c r="C46" s="74" t="s">
        <v>51</v>
      </c>
      <c r="D46" s="75" t="n">
        <f aca="false">SUMIF($D$11:$D$32,C46,$F$11:$F$32)</f>
        <v>69.7</v>
      </c>
    </row>
    <row r="47" customFormat="false" ht="15" hidden="false" customHeight="false" outlineLevel="0" collapsed="false">
      <c r="C47" s="82"/>
      <c r="D47" s="83" t="n">
        <f aca="false">SUMIF($D$11:$D$32,C47,$F$11:$F$32)</f>
        <v>0</v>
      </c>
    </row>
    <row r="48" customFormat="false" ht="15" hidden="false" customHeight="false" outlineLevel="0" collapsed="false">
      <c r="C48" s="77"/>
      <c r="D48" s="78" t="n">
        <f aca="false">SUMIF($D$11:$D$32,C48,$F$11:$F$32)</f>
        <v>0</v>
      </c>
    </row>
    <row r="49" customFormat="false" ht="15" hidden="false" customHeight="false" outlineLevel="0" collapsed="false">
      <c r="D49" s="80"/>
    </row>
    <row r="50" customFormat="false" ht="15" hidden="false" customHeight="false" outlineLevel="0" collapsed="false">
      <c r="B50" s="69" t="s">
        <v>32</v>
      </c>
      <c r="C50" s="70" t="s">
        <v>81</v>
      </c>
      <c r="D50" s="71" t="n">
        <f aca="false">SUMIF($D$11:$D$32,C50,$F$11:$F$32)</f>
        <v>69.9</v>
      </c>
    </row>
    <row r="51" customFormat="false" ht="15" hidden="false" customHeight="false" outlineLevel="0" collapsed="false">
      <c r="B51" s="73" t="n">
        <f aca="false">SUM(D50:D56)</f>
        <v>76.9</v>
      </c>
      <c r="C51" s="74" t="s">
        <v>57</v>
      </c>
      <c r="D51" s="75" t="n">
        <f aca="false">SUMIF($D$11:$D$32,C51,$F$11:$F$32)</f>
        <v>0</v>
      </c>
    </row>
    <row r="52" customFormat="false" ht="15" hidden="false" customHeight="false" outlineLevel="0" collapsed="false">
      <c r="C52" s="74" t="s">
        <v>82</v>
      </c>
      <c r="D52" s="75" t="n">
        <f aca="false">SUMIF($D$11:$D$32,C52,$F$11:$F$32)</f>
        <v>0</v>
      </c>
    </row>
    <row r="53" customFormat="false" ht="15" hidden="false" customHeight="false" outlineLevel="0" collapsed="false">
      <c r="C53" s="74" t="s">
        <v>33</v>
      </c>
      <c r="D53" s="75" t="n">
        <f aca="false">SUMIF($D$11:$D$32,C53,$F$11:$F$32)</f>
        <v>7</v>
      </c>
    </row>
    <row r="54" customFormat="false" ht="15" hidden="false" customHeight="false" outlineLevel="0" collapsed="false">
      <c r="C54" s="74" t="s">
        <v>83</v>
      </c>
      <c r="D54" s="75" t="n">
        <f aca="false">SUMIF($D$11:$D$32,C54,$F$11:$F$32)</f>
        <v>0</v>
      </c>
    </row>
    <row r="55" customFormat="false" ht="15" hidden="false" customHeight="false" outlineLevel="0" collapsed="false">
      <c r="C55" s="74" t="s">
        <v>59</v>
      </c>
      <c r="D55" s="75" t="n">
        <f aca="false">SUMIF($D$11:$D$32,C55,$F$11:$F$32)</f>
        <v>0</v>
      </c>
    </row>
    <row r="56" customFormat="false" ht="15" hidden="false" customHeight="false" outlineLevel="0" collapsed="false">
      <c r="C56" s="64"/>
      <c r="D56" s="78" t="n">
        <f aca="false">SUMIF($D$11:$D$32,C56,$F$11:$F$32)</f>
        <v>0</v>
      </c>
    </row>
    <row r="57" customFormat="false" ht="15" hidden="false" customHeight="false" outlineLevel="0" collapsed="false">
      <c r="D57" s="80"/>
    </row>
    <row r="58" customFormat="false" ht="15" hidden="false" customHeight="false" outlineLevel="0" collapsed="false">
      <c r="B58" s="69" t="s">
        <v>39</v>
      </c>
      <c r="C58" s="70" t="s">
        <v>84</v>
      </c>
      <c r="D58" s="71" t="n">
        <f aca="false">SUMIF($D$11:$D$32,C58,$F$11:$F$32)</f>
        <v>0</v>
      </c>
    </row>
    <row r="59" customFormat="false" ht="15" hidden="false" customHeight="false" outlineLevel="0" collapsed="false">
      <c r="B59" s="73" t="n">
        <f aca="false">SUM(D58:D64)</f>
        <v>48</v>
      </c>
      <c r="C59" s="74" t="s">
        <v>40</v>
      </c>
      <c r="D59" s="75" t="n">
        <f aca="false">SUMIF($D$11:$D$32,C59,$F$11:$F$32)</f>
        <v>0</v>
      </c>
    </row>
    <row r="60" customFormat="false" ht="15" hidden="false" customHeight="false" outlineLevel="0" collapsed="false">
      <c r="C60" s="74" t="s">
        <v>85</v>
      </c>
      <c r="D60" s="75" t="n">
        <f aca="false">SUMIF($D$11:$D$32,C60,$F$11:$F$32)</f>
        <v>0</v>
      </c>
    </row>
    <row r="61" customFormat="false" ht="15" hidden="false" customHeight="false" outlineLevel="0" collapsed="false">
      <c r="C61" s="74" t="s">
        <v>86</v>
      </c>
      <c r="D61" s="75" t="n">
        <f aca="false">SUMIF($D$11:$D$32,C61,$F$11:$F$32)</f>
        <v>0</v>
      </c>
    </row>
    <row r="62" customFormat="false" ht="15" hidden="false" customHeight="false" outlineLevel="0" collapsed="false">
      <c r="C62" s="74" t="s">
        <v>47</v>
      </c>
      <c r="D62" s="75" t="n">
        <f aca="false">SUMIF($D$11:$D$32,C62,$F$11:$F$32)</f>
        <v>48</v>
      </c>
    </row>
    <row r="63" customFormat="false" ht="15" hidden="false" customHeight="false" outlineLevel="0" collapsed="false">
      <c r="C63" s="74" t="s">
        <v>87</v>
      </c>
      <c r="D63" s="75" t="n">
        <f aca="false">SUMIF($D$11:$D$32,C63,$F$11:$F$32)</f>
        <v>0</v>
      </c>
    </row>
    <row r="64" customFormat="false" ht="15" hidden="false" customHeight="false" outlineLevel="0" collapsed="false">
      <c r="C64" s="64"/>
      <c r="D64" s="78" t="n">
        <f aca="false">SUMIF($D$11:$D$32,C64,$F$11:$F$32)</f>
        <v>0</v>
      </c>
    </row>
    <row r="65" customFormat="false" ht="15" hidden="false" customHeight="false" outlineLevel="0" collapsed="false">
      <c r="D65" s="80"/>
    </row>
    <row r="66" customFormat="false" ht="15" hidden="false" customHeight="false" outlineLevel="0" collapsed="false">
      <c r="B66" s="69" t="s">
        <v>88</v>
      </c>
      <c r="C66" s="70" t="s">
        <v>89</v>
      </c>
      <c r="D66" s="71" t="n">
        <f aca="false">SUMIF($D$11:$D$32,C66,$F$11:$F$32)</f>
        <v>0</v>
      </c>
    </row>
    <row r="67" customFormat="false" ht="15" hidden="false" customHeight="false" outlineLevel="0" collapsed="false">
      <c r="B67" s="73" t="n">
        <f aca="false">SUM(D66:D72)</f>
        <v>0</v>
      </c>
      <c r="C67" s="74" t="s">
        <v>90</v>
      </c>
      <c r="D67" s="75" t="n">
        <f aca="false">SUMIF($D$11:$D$32,C67,$F$11:$F$32)</f>
        <v>0</v>
      </c>
    </row>
    <row r="68" customFormat="false" ht="15" hidden="false" customHeight="false" outlineLevel="0" collapsed="false">
      <c r="C68" s="74" t="s">
        <v>91</v>
      </c>
      <c r="D68" s="75" t="n">
        <f aca="false">SUMIF($D$11:$D$32,C68,$F$11:$F$32)</f>
        <v>0</v>
      </c>
    </row>
    <row r="69" customFormat="false" ht="15" hidden="false" customHeight="false" outlineLevel="0" collapsed="false">
      <c r="C69" s="74" t="s">
        <v>92</v>
      </c>
      <c r="D69" s="75" t="n">
        <f aca="false">SUMIF($D$11:$D$32,C69,$F$11:$F$32)</f>
        <v>0</v>
      </c>
    </row>
    <row r="70" customFormat="false" ht="15" hidden="false" customHeight="false" outlineLevel="0" collapsed="false">
      <c r="C70" s="74" t="s">
        <v>93</v>
      </c>
      <c r="D70" s="75" t="n">
        <f aca="false">SUMIF($D$11:$D$32,C70,$F$11:$F$32)</f>
        <v>0</v>
      </c>
    </row>
    <row r="71" customFormat="false" ht="15" hidden="false" customHeight="false" outlineLevel="0" collapsed="false">
      <c r="C71" s="74" t="s">
        <v>94</v>
      </c>
      <c r="D71" s="75" t="n">
        <f aca="false">SUMIF($D$11:$D$32,C71,$F$11:$F$32)</f>
        <v>0</v>
      </c>
    </row>
    <row r="72" customFormat="false" ht="15" hidden="false" customHeight="false" outlineLevel="0" collapsed="false">
      <c r="C72" s="64"/>
      <c r="D72" s="78" t="n">
        <f aca="false">SUMIF($D$11:$D$32,C72,$F$11:$F$32)</f>
        <v>0</v>
      </c>
    </row>
    <row r="73" customFormat="false" ht="15" hidden="false" customHeight="false" outlineLevel="0" collapsed="false">
      <c r="D73" s="80"/>
    </row>
    <row r="74" customFormat="false" ht="15" hidden="false" customHeight="false" outlineLevel="0" collapsed="false">
      <c r="B74" s="69" t="s">
        <v>77</v>
      </c>
      <c r="C74" s="70" t="s">
        <v>95</v>
      </c>
      <c r="D74" s="71" t="n">
        <f aca="false">SUMIF($D$11:$D$32,C74,$F$11:$F$32)</f>
        <v>0</v>
      </c>
    </row>
    <row r="75" customFormat="false" ht="15" hidden="false" customHeight="false" outlineLevel="0" collapsed="false">
      <c r="B75" s="73" t="n">
        <f aca="false">SUM(D74:D80)</f>
        <v>0</v>
      </c>
      <c r="C75" s="74" t="s">
        <v>96</v>
      </c>
      <c r="D75" s="75" t="n">
        <f aca="false">SUMIF($D$11:$D$32,C75,$F$11:$F$32)</f>
        <v>0</v>
      </c>
    </row>
    <row r="76" customFormat="false" ht="15" hidden="false" customHeight="false" outlineLevel="0" collapsed="false">
      <c r="C76" s="74" t="s">
        <v>97</v>
      </c>
      <c r="D76" s="75" t="n">
        <f aca="false">SUMIF($D$11:$D$32,C76,$F$11:$F$32)</f>
        <v>0</v>
      </c>
    </row>
    <row r="77" customFormat="false" ht="15" hidden="false" customHeight="false" outlineLevel="0" collapsed="false">
      <c r="C77" s="74" t="s">
        <v>98</v>
      </c>
      <c r="D77" s="75" t="n">
        <f aca="false">SUMIF($D$11:$D$32,C77,$F$11:$F$32)</f>
        <v>0</v>
      </c>
    </row>
    <row r="78" customFormat="false" ht="15" hidden="false" customHeight="false" outlineLevel="0" collapsed="false">
      <c r="C78" s="74"/>
      <c r="D78" s="75" t="n">
        <f aca="false">SUMIF($D$11:$D$32,C78,$F$11:$F$32)</f>
        <v>0</v>
      </c>
    </row>
    <row r="79" customFormat="false" ht="15" hidden="false" customHeight="false" outlineLevel="0" collapsed="false">
      <c r="C79" s="74"/>
      <c r="D79" s="75" t="n">
        <f aca="false">SUMIF($D$11:$D$32,C79,$F$11:$F$32)</f>
        <v>0</v>
      </c>
    </row>
    <row r="80" customFormat="false" ht="15" hidden="false" customHeight="false" outlineLevel="0" collapsed="false">
      <c r="C80" s="64"/>
      <c r="D80" s="78" t="n">
        <f aca="false">SUMIF($D$11:$D$32,C80,$F$11:$F$32)</f>
        <v>0</v>
      </c>
    </row>
    <row r="81" customFormat="false" ht="15" hidden="false" customHeight="false" outlineLevel="0" collapsed="false">
      <c r="D81" s="80"/>
    </row>
    <row r="82" customFormat="false" ht="15" hidden="false" customHeight="false" outlineLevel="0" collapsed="false">
      <c r="B82" s="69" t="s">
        <v>99</v>
      </c>
      <c r="C82" s="70" t="s">
        <v>100</v>
      </c>
      <c r="D82" s="71" t="n">
        <f aca="false">SUMIF($D$11:$D$32,C82,$F$11:$F$32)</f>
        <v>0</v>
      </c>
    </row>
    <row r="83" customFormat="false" ht="15" hidden="false" customHeight="false" outlineLevel="0" collapsed="false">
      <c r="B83" s="73" t="n">
        <f aca="false">SUM(D82:D88)</f>
        <v>0</v>
      </c>
      <c r="C83" s="74" t="s">
        <v>101</v>
      </c>
      <c r="D83" s="75" t="n">
        <f aca="false">SUMIF($D$11:$D$32,C83,$F$11:$F$32)</f>
        <v>0</v>
      </c>
    </row>
    <row r="84" customFormat="false" ht="15" hidden="false" customHeight="false" outlineLevel="0" collapsed="false">
      <c r="C84" s="74" t="s">
        <v>102</v>
      </c>
      <c r="D84" s="75" t="n">
        <f aca="false">SUMIF($D$11:$D$32,C84,$F$11:$F$32)</f>
        <v>0</v>
      </c>
    </row>
    <row r="85" customFormat="false" ht="15" hidden="false" customHeight="false" outlineLevel="0" collapsed="false">
      <c r="C85" s="74" t="s">
        <v>103</v>
      </c>
      <c r="D85" s="75" t="n">
        <f aca="false">SUMIF($D$11:$D$32,C85,$F$11:$F$32)</f>
        <v>0</v>
      </c>
    </row>
    <row r="86" customFormat="false" ht="15" hidden="false" customHeight="false" outlineLevel="0" collapsed="false">
      <c r="C86" s="74" t="s">
        <v>104</v>
      </c>
      <c r="D86" s="75" t="n">
        <f aca="false">SUMIF($D$11:$D$32,C86,$F$11:$F$32)</f>
        <v>0</v>
      </c>
    </row>
    <row r="87" customFormat="false" ht="15" hidden="false" customHeight="false" outlineLevel="0" collapsed="false">
      <c r="C87" s="74" t="s">
        <v>105</v>
      </c>
      <c r="D87" s="75" t="n">
        <f aca="false">SUMIF($D$11:$D$32,C87,$F$11:$F$32)</f>
        <v>0</v>
      </c>
    </row>
    <row r="88" customFormat="false" ht="15" hidden="false" customHeight="false" outlineLevel="0" collapsed="false">
      <c r="C88" s="64"/>
      <c r="D88" s="78" t="n">
        <f aca="false">SUMIF($D$11:$D$32,C88,$F$11:$F$32)</f>
        <v>0</v>
      </c>
    </row>
    <row r="90" customFormat="false" ht="15" hidden="false" customHeight="false" outlineLevel="0" collapsed="false">
      <c r="B90" s="69" t="s">
        <v>79</v>
      </c>
      <c r="C90" s="70"/>
      <c r="D90" s="71" t="n">
        <f aca="false">SUMIF(C11:C32,B90,F11:F32)</f>
        <v>5548.69</v>
      </c>
    </row>
  </sheetData>
  <mergeCells count="3">
    <mergeCell ref="H2:K2"/>
    <mergeCell ref="B9:F9"/>
    <mergeCell ref="H9:K9"/>
  </mergeCells>
  <dataValidations count="3">
    <dataValidation allowBlank="true" errorStyle="stop" operator="between" showDropDown="false" showErrorMessage="true" showInputMessage="true" sqref="D11:D32" type="list">
      <formula1>INDIRECT(C11)</formula1>
      <formula2>0</formula2>
    </dataValidation>
    <dataValidation allowBlank="true" errorStyle="stop" operator="between" showDropDown="false" showErrorMessage="true" showInputMessage="true" sqref="I11:I22" type="list">
      <formula1>Modelo!$R$3:$R$14</formula1>
      <formula2>0</formula2>
    </dataValidation>
    <dataValidation allowBlank="true" errorStyle="stop" operator="between" showDropDown="false" showErrorMessage="true" showInputMessage="true" sqref="C11:C32" type="list">
      <formula1>Modelo!$P$3:$P$11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DD7EE"/>
    <pageSetUpPr fitToPage="false"/>
  </sheetPr>
  <dimension ref="B2:P90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D4" activeCellId="0" sqref="D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.15"/>
    <col collapsed="false" customWidth="true" hidden="false" outlineLevel="0" max="3" min="3" style="1" width="41.57"/>
    <col collapsed="false" customWidth="true" hidden="false" outlineLevel="0" max="4" min="4" style="1" width="12.27"/>
    <col collapsed="false" customWidth="true" hidden="false" outlineLevel="0" max="5" min="5" style="1" width="22"/>
    <col collapsed="false" customWidth="true" hidden="false" outlineLevel="0" max="6" min="6" style="1" width="14.86"/>
    <col collapsed="false" customWidth="true" hidden="false" outlineLevel="0" max="7" min="7" style="1" width="2.57"/>
    <col collapsed="false" customWidth="true" hidden="false" outlineLevel="0" max="8" min="8" style="1" width="19.42"/>
    <col collapsed="false" customWidth="true" hidden="false" outlineLevel="0" max="9" min="9" style="1" width="13.71"/>
    <col collapsed="false" customWidth="true" hidden="false" outlineLevel="0" max="10" min="10" style="1" width="13"/>
    <col collapsed="false" customWidth="true" hidden="false" outlineLevel="0" max="11" min="11" style="1" width="34.42"/>
    <col collapsed="false" customWidth="true" hidden="false" outlineLevel="0" max="12" min="12" style="1" width="13"/>
    <col collapsed="false" customWidth="true" hidden="false" outlineLevel="0" max="16" min="13" style="1" width="12"/>
  </cols>
  <sheetData>
    <row r="2" customFormat="false" ht="15" hidden="false" customHeight="false" outlineLevel="0" collapsed="false">
      <c r="B2" s="2" t="s">
        <v>169</v>
      </c>
      <c r="C2" s="3" t="s">
        <v>1</v>
      </c>
      <c r="D2" s="4" t="s">
        <v>2</v>
      </c>
      <c r="E2" s="3"/>
      <c r="F2" s="5" t="s">
        <v>3</v>
      </c>
      <c r="H2" s="6"/>
      <c r="I2" s="6"/>
      <c r="J2" s="6"/>
      <c r="K2" s="6"/>
    </row>
    <row r="3" customFormat="false" ht="15" hidden="false" customHeight="false" outlineLevel="0" collapsed="false">
      <c r="B3" s="7" t="s">
        <v>4</v>
      </c>
      <c r="C3" s="8"/>
      <c r="D3" s="9" t="n">
        <v>2318</v>
      </c>
      <c r="E3" s="10" t="s">
        <v>1</v>
      </c>
      <c r="F3" s="11" t="n">
        <f aca="false">SUM(D3,D5,D6,D7,D4)</f>
        <v>2309.7</v>
      </c>
      <c r="I3" s="2" t="s">
        <v>6</v>
      </c>
      <c r="K3" s="13" t="s">
        <v>7</v>
      </c>
      <c r="L3" s="14" t="n">
        <v>200</v>
      </c>
    </row>
    <row r="4" customFormat="false" ht="15" hidden="false" customHeight="false" outlineLevel="0" collapsed="false">
      <c r="B4" s="15" t="s">
        <v>8</v>
      </c>
      <c r="C4" s="16"/>
      <c r="D4" s="17" t="n">
        <f aca="false">SUM(P10:P25)</f>
        <v>0</v>
      </c>
      <c r="E4" s="18" t="s">
        <v>9</v>
      </c>
      <c r="F4" s="19" t="n">
        <f aca="false">SUM(F11:F32)</f>
        <v>630</v>
      </c>
      <c r="I4" s="20" t="n">
        <f aca="true">TODAY()</f>
        <v>46242</v>
      </c>
      <c r="K4" s="13" t="s">
        <v>170</v>
      </c>
      <c r="L4" s="14" t="n">
        <f aca="false">Mai!L4</f>
        <v>0</v>
      </c>
    </row>
    <row r="5" customFormat="false" ht="15" hidden="false" customHeight="false" outlineLevel="0" collapsed="false">
      <c r="B5" s="21" t="s">
        <v>12</v>
      </c>
      <c r="C5" s="22"/>
      <c r="D5" s="23"/>
      <c r="E5" s="24" t="s">
        <v>13</v>
      </c>
      <c r="F5" s="25" t="n">
        <f aca="false">D4</f>
        <v>0</v>
      </c>
      <c r="I5" s="26" t="s">
        <v>14</v>
      </c>
      <c r="K5" s="13" t="s">
        <v>15</v>
      </c>
      <c r="L5" s="14" t="n">
        <f aca="false">Mai!L5</f>
        <v>156.5</v>
      </c>
    </row>
    <row r="6" customFormat="false" ht="15" hidden="false" customHeight="false" outlineLevel="0" collapsed="false">
      <c r="B6" s="21" t="s">
        <v>16</v>
      </c>
      <c r="C6" s="22"/>
      <c r="D6" s="23"/>
      <c r="E6" s="27" t="s">
        <v>17</v>
      </c>
      <c r="F6" s="28" t="n">
        <f aca="false">SUM(K11:K22)</f>
        <v>1391.7</v>
      </c>
      <c r="I6" s="29" t="n">
        <v>46201</v>
      </c>
      <c r="K6" s="30" t="s">
        <v>18</v>
      </c>
      <c r="L6" s="31"/>
    </row>
    <row r="7" customFormat="false" ht="15" hidden="false" customHeight="false" outlineLevel="0" collapsed="false">
      <c r="B7" s="32" t="s">
        <v>107</v>
      </c>
      <c r="C7" s="33"/>
      <c r="D7" s="34" t="n">
        <f aca="false">Mai!F7</f>
        <v>-8.2999999999995</v>
      </c>
      <c r="E7" s="35" t="s">
        <v>19</v>
      </c>
      <c r="F7" s="36" t="n">
        <f aca="false">F3-F4-F6</f>
        <v>288.000000000001</v>
      </c>
      <c r="I7" s="89"/>
    </row>
    <row r="9" customFormat="false" ht="15" hidden="false" customHeight="false" outlineLevel="0" collapsed="false">
      <c r="B9" s="37" t="s">
        <v>20</v>
      </c>
      <c r="C9" s="37"/>
      <c r="D9" s="37"/>
      <c r="E9" s="37"/>
      <c r="F9" s="37"/>
      <c r="H9" s="38" t="s">
        <v>21</v>
      </c>
      <c r="I9" s="38"/>
      <c r="J9" s="38"/>
      <c r="K9" s="38"/>
      <c r="M9" s="39" t="s">
        <v>108</v>
      </c>
      <c r="N9" s="40" t="s">
        <v>23</v>
      </c>
      <c r="O9" s="41" t="s">
        <v>24</v>
      </c>
      <c r="P9" s="42" t="s">
        <v>25</v>
      </c>
    </row>
    <row r="10" customFormat="false" ht="15" hidden="false" customHeight="false" outlineLevel="0" collapsed="false">
      <c r="B10" s="5" t="s">
        <v>6</v>
      </c>
      <c r="C10" s="5" t="s">
        <v>26</v>
      </c>
      <c r="D10" s="5" t="s">
        <v>27</v>
      </c>
      <c r="E10" s="5" t="s">
        <v>28</v>
      </c>
      <c r="F10" s="5" t="s">
        <v>2</v>
      </c>
      <c r="H10" s="5" t="s">
        <v>6</v>
      </c>
      <c r="I10" s="5" t="s">
        <v>29</v>
      </c>
      <c r="J10" s="5" t="s">
        <v>27</v>
      </c>
      <c r="K10" s="5" t="s">
        <v>2</v>
      </c>
      <c r="M10" s="43"/>
      <c r="N10" s="44"/>
      <c r="O10" s="45"/>
      <c r="P10" s="46"/>
    </row>
    <row r="11" customFormat="false" ht="15" hidden="false" customHeight="false" outlineLevel="0" collapsed="false">
      <c r="B11" s="56" t="n">
        <v>46182</v>
      </c>
      <c r="C11" s="57" t="s">
        <v>79</v>
      </c>
      <c r="D11" s="16"/>
      <c r="E11" s="16" t="s">
        <v>160</v>
      </c>
      <c r="F11" s="58" t="n">
        <v>350</v>
      </c>
      <c r="H11" s="50"/>
      <c r="I11" s="51" t="s">
        <v>42</v>
      </c>
      <c r="J11" s="51" t="s">
        <v>171</v>
      </c>
      <c r="K11" s="46" t="n">
        <v>1012.68</v>
      </c>
      <c r="M11" s="52"/>
      <c r="N11" s="53"/>
      <c r="O11" s="54"/>
      <c r="P11" s="55"/>
    </row>
    <row r="12" customFormat="false" ht="15" hidden="false" customHeight="false" outlineLevel="0" collapsed="false">
      <c r="B12" s="56"/>
      <c r="C12" s="57" t="s">
        <v>64</v>
      </c>
      <c r="D12" s="16"/>
      <c r="E12" s="16"/>
      <c r="F12" s="58" t="n">
        <v>3.58</v>
      </c>
      <c r="H12" s="59"/>
      <c r="I12" s="51" t="s">
        <v>35</v>
      </c>
      <c r="J12" s="60" t="s">
        <v>172</v>
      </c>
      <c r="K12" s="55" t="n">
        <v>14</v>
      </c>
      <c r="M12" s="52"/>
      <c r="N12" s="53"/>
      <c r="O12" s="54"/>
      <c r="P12" s="55"/>
    </row>
    <row r="13" customFormat="false" ht="15" hidden="false" customHeight="false" outlineLevel="0" collapsed="false">
      <c r="B13" s="56"/>
      <c r="C13" s="57" t="s">
        <v>50</v>
      </c>
      <c r="D13" s="16"/>
      <c r="E13" s="16"/>
      <c r="F13" s="58" t="n">
        <v>11</v>
      </c>
      <c r="H13" s="59"/>
      <c r="I13" s="51" t="s">
        <v>35</v>
      </c>
      <c r="J13" s="60" t="s">
        <v>121</v>
      </c>
      <c r="K13" s="55" t="n">
        <v>30</v>
      </c>
      <c r="M13" s="52"/>
      <c r="N13" s="53"/>
      <c r="O13" s="54"/>
      <c r="P13" s="55"/>
    </row>
    <row r="14" customFormat="false" ht="15" hidden="false" customHeight="false" outlineLevel="0" collapsed="false">
      <c r="B14" s="56"/>
      <c r="C14" s="57" t="s">
        <v>32</v>
      </c>
      <c r="D14" s="16"/>
      <c r="E14" s="16"/>
      <c r="F14" s="58" t="n">
        <v>15</v>
      </c>
      <c r="H14" s="59"/>
      <c r="I14" s="51" t="s">
        <v>129</v>
      </c>
      <c r="J14" s="60" t="s">
        <v>173</v>
      </c>
      <c r="K14" s="55" t="n">
        <v>35</v>
      </c>
      <c r="M14" s="52"/>
      <c r="N14" s="53"/>
      <c r="O14" s="54"/>
      <c r="P14" s="55"/>
    </row>
    <row r="15" customFormat="false" ht="15" hidden="false" customHeight="false" outlineLevel="0" collapsed="false">
      <c r="B15" s="56"/>
      <c r="C15" s="57" t="s">
        <v>50</v>
      </c>
      <c r="D15" s="16"/>
      <c r="E15" s="16"/>
      <c r="F15" s="58" t="n">
        <v>1.8</v>
      </c>
      <c r="H15" s="59"/>
      <c r="I15" s="51" t="s">
        <v>49</v>
      </c>
      <c r="J15" s="60" t="s">
        <v>174</v>
      </c>
      <c r="K15" s="55" t="n">
        <f aca="false">10+80.02</f>
        <v>90.02</v>
      </c>
      <c r="M15" s="52"/>
      <c r="N15" s="53"/>
      <c r="O15" s="54"/>
      <c r="P15" s="55"/>
    </row>
    <row r="16" customFormat="false" ht="15" hidden="false" customHeight="false" outlineLevel="0" collapsed="false">
      <c r="B16" s="56"/>
      <c r="C16" s="57" t="s">
        <v>64</v>
      </c>
      <c r="D16" s="16"/>
      <c r="E16" s="16"/>
      <c r="F16" s="58" t="n">
        <v>24.17</v>
      </c>
      <c r="H16" s="59"/>
      <c r="I16" s="51" t="s">
        <v>72</v>
      </c>
      <c r="J16" s="60" t="s">
        <v>175</v>
      </c>
      <c r="K16" s="55" t="n">
        <v>210</v>
      </c>
      <c r="M16" s="52"/>
      <c r="N16" s="53"/>
      <c r="O16" s="54"/>
      <c r="P16" s="55"/>
    </row>
    <row r="17" customFormat="false" ht="15" hidden="false" customHeight="false" outlineLevel="0" collapsed="false">
      <c r="B17" s="56"/>
      <c r="C17" s="57" t="s">
        <v>99</v>
      </c>
      <c r="D17" s="16"/>
      <c r="E17" s="16"/>
      <c r="F17" s="58" t="n">
        <v>26</v>
      </c>
      <c r="H17" s="59"/>
      <c r="I17" s="51"/>
      <c r="J17" s="60"/>
      <c r="K17" s="55"/>
      <c r="M17" s="52"/>
      <c r="N17" s="53"/>
      <c r="O17" s="54"/>
      <c r="P17" s="55"/>
    </row>
    <row r="18" customFormat="false" ht="15" hidden="false" customHeight="false" outlineLevel="0" collapsed="false">
      <c r="B18" s="56"/>
      <c r="C18" s="57" t="s">
        <v>32</v>
      </c>
      <c r="D18" s="16"/>
      <c r="E18" s="16"/>
      <c r="F18" s="58" t="n">
        <v>6.66</v>
      </c>
      <c r="H18" s="59"/>
      <c r="I18" s="51"/>
      <c r="J18" s="60"/>
      <c r="K18" s="55"/>
      <c r="M18" s="52"/>
      <c r="N18" s="53"/>
      <c r="O18" s="54"/>
      <c r="P18" s="55"/>
    </row>
    <row r="19" customFormat="false" ht="15" hidden="false" customHeight="false" outlineLevel="0" collapsed="false">
      <c r="B19" s="56"/>
      <c r="C19" s="57" t="s">
        <v>39</v>
      </c>
      <c r="D19" s="16"/>
      <c r="E19" s="16"/>
      <c r="F19" s="58" t="n">
        <v>12.99</v>
      </c>
      <c r="H19" s="59"/>
      <c r="I19" s="51"/>
      <c r="J19" s="60"/>
      <c r="K19" s="55"/>
      <c r="M19" s="52"/>
      <c r="N19" s="53"/>
      <c r="O19" s="54"/>
      <c r="P19" s="55"/>
    </row>
    <row r="20" customFormat="false" ht="15" hidden="false" customHeight="false" outlineLevel="0" collapsed="false">
      <c r="B20" s="56"/>
      <c r="C20" s="57" t="s">
        <v>64</v>
      </c>
      <c r="D20" s="16"/>
      <c r="E20" s="16"/>
      <c r="F20" s="58" t="n">
        <v>12.9</v>
      </c>
      <c r="H20" s="59"/>
      <c r="I20" s="51"/>
      <c r="J20" s="60"/>
      <c r="K20" s="55"/>
      <c r="M20" s="52"/>
      <c r="N20" s="53"/>
      <c r="O20" s="54"/>
      <c r="P20" s="55"/>
    </row>
    <row r="21" customFormat="false" ht="15" hidden="false" customHeight="false" outlineLevel="0" collapsed="false">
      <c r="B21" s="56"/>
      <c r="C21" s="57" t="s">
        <v>99</v>
      </c>
      <c r="D21" s="16"/>
      <c r="E21" s="16" t="s">
        <v>176</v>
      </c>
      <c r="F21" s="58" t="n">
        <v>100</v>
      </c>
      <c r="H21" s="59"/>
      <c r="I21" s="51"/>
      <c r="J21" s="60"/>
      <c r="K21" s="55"/>
      <c r="M21" s="52"/>
      <c r="N21" s="53"/>
      <c r="O21" s="54"/>
      <c r="P21" s="55"/>
    </row>
    <row r="22" customFormat="false" ht="15" hidden="false" customHeight="false" outlineLevel="0" collapsed="false">
      <c r="B22" s="56"/>
      <c r="C22" s="57" t="s">
        <v>50</v>
      </c>
      <c r="D22" s="16" t="s">
        <v>51</v>
      </c>
      <c r="E22" s="16" t="s">
        <v>177</v>
      </c>
      <c r="F22" s="58" t="n">
        <v>42</v>
      </c>
      <c r="H22" s="61"/>
      <c r="I22" s="62"/>
      <c r="J22" s="62"/>
      <c r="K22" s="63"/>
      <c r="M22" s="52"/>
      <c r="N22" s="53"/>
      <c r="O22" s="54"/>
      <c r="P22" s="55"/>
    </row>
    <row r="23" customFormat="false" ht="15" hidden="false" customHeight="false" outlineLevel="0" collapsed="false">
      <c r="B23" s="56"/>
      <c r="C23" s="57"/>
      <c r="D23" s="16"/>
      <c r="E23" s="16"/>
      <c r="F23" s="58" t="n">
        <v>23.9</v>
      </c>
      <c r="K23" s="12" t="n">
        <f aca="false">SUM(K11:K22)</f>
        <v>1391.7</v>
      </c>
      <c r="M23" s="52"/>
      <c r="N23" s="53"/>
      <c r="O23" s="54"/>
      <c r="P23" s="55"/>
    </row>
    <row r="24" customFormat="false" ht="15" hidden="false" customHeight="false" outlineLevel="0" collapsed="false">
      <c r="B24" s="56"/>
      <c r="C24" s="57"/>
      <c r="D24" s="16"/>
      <c r="E24" s="16"/>
      <c r="F24" s="58"/>
      <c r="H24" s="1" t="s">
        <v>178</v>
      </c>
      <c r="I24" s="1" t="s">
        <v>179</v>
      </c>
      <c r="J24" s="90" t="n">
        <v>1000</v>
      </c>
      <c r="M24" s="52"/>
      <c r="N24" s="53"/>
      <c r="O24" s="54"/>
      <c r="P24" s="55"/>
    </row>
    <row r="25" customFormat="false" ht="15" hidden="false" customHeight="false" outlineLevel="0" collapsed="false">
      <c r="B25" s="56"/>
      <c r="C25" s="57"/>
      <c r="D25" s="16"/>
      <c r="E25" s="16"/>
      <c r="F25" s="58"/>
      <c r="H25" s="1" t="s">
        <v>180</v>
      </c>
      <c r="I25" s="1" t="s">
        <v>181</v>
      </c>
      <c r="J25" s="90" t="n">
        <v>1780</v>
      </c>
      <c r="M25" s="64"/>
      <c r="N25" s="65"/>
      <c r="O25" s="66"/>
      <c r="P25" s="63"/>
    </row>
    <row r="26" customFormat="false" ht="15" hidden="false" customHeight="false" outlineLevel="0" collapsed="false">
      <c r="B26" s="56"/>
      <c r="C26" s="57"/>
      <c r="D26" s="16"/>
      <c r="E26" s="16"/>
      <c r="F26" s="58"/>
      <c r="H26" s="1" t="s">
        <v>182</v>
      </c>
      <c r="I26" s="1" t="s">
        <v>183</v>
      </c>
      <c r="J26" s="91" t="n">
        <v>560</v>
      </c>
    </row>
    <row r="27" customFormat="false" ht="15" hidden="false" customHeight="false" outlineLevel="0" collapsed="false">
      <c r="B27" s="56"/>
      <c r="C27" s="57"/>
      <c r="D27" s="16"/>
      <c r="E27" s="16"/>
      <c r="F27" s="58"/>
      <c r="H27" s="1" t="s">
        <v>184</v>
      </c>
      <c r="I27" s="1" t="s">
        <v>185</v>
      </c>
      <c r="J27" s="91" t="n">
        <v>112</v>
      </c>
    </row>
    <row r="28" customFormat="false" ht="15" hidden="false" customHeight="false" outlineLevel="0" collapsed="false">
      <c r="B28" s="56"/>
      <c r="C28" s="57"/>
      <c r="D28" s="16"/>
      <c r="E28" s="16"/>
      <c r="F28" s="58"/>
      <c r="H28" s="1" t="s">
        <v>186</v>
      </c>
      <c r="I28" s="1" t="s">
        <v>187</v>
      </c>
      <c r="J28" s="91" t="n">
        <v>499</v>
      </c>
    </row>
    <row r="29" customFormat="false" ht="15" hidden="false" customHeight="false" outlineLevel="0" collapsed="false">
      <c r="B29" s="56"/>
      <c r="C29" s="57"/>
      <c r="D29" s="16"/>
      <c r="E29" s="16"/>
      <c r="F29" s="58"/>
      <c r="H29" s="1" t="s">
        <v>188</v>
      </c>
      <c r="I29" s="1" t="s">
        <v>189</v>
      </c>
      <c r="J29" s="91" t="n">
        <v>40</v>
      </c>
      <c r="K29" s="12"/>
    </row>
    <row r="30" customFormat="false" ht="15" hidden="false" customHeight="false" outlineLevel="0" collapsed="false">
      <c r="B30" s="56"/>
      <c r="C30" s="57"/>
      <c r="D30" s="16"/>
      <c r="E30" s="16"/>
      <c r="F30" s="58"/>
      <c r="H30" s="1" t="s">
        <v>190</v>
      </c>
      <c r="I30" s="1" t="s">
        <v>191</v>
      </c>
      <c r="J30" s="90" t="n">
        <v>350</v>
      </c>
    </row>
    <row r="31" customFormat="false" ht="15" hidden="false" customHeight="false" outlineLevel="0" collapsed="false">
      <c r="B31" s="56"/>
      <c r="C31" s="57"/>
      <c r="D31" s="16"/>
      <c r="E31" s="16"/>
      <c r="F31" s="58"/>
      <c r="H31" s="1" t="s">
        <v>186</v>
      </c>
      <c r="I31" s="1" t="s">
        <v>192</v>
      </c>
      <c r="J31" s="90" t="n">
        <v>150</v>
      </c>
    </row>
    <row r="32" customFormat="false" ht="15" hidden="false" customHeight="false" outlineLevel="0" collapsed="false">
      <c r="B32" s="67"/>
      <c r="C32" s="33"/>
      <c r="D32" s="33"/>
      <c r="E32" s="33"/>
      <c r="F32" s="68"/>
      <c r="J32" s="87" t="n">
        <f aca="false">SUM(J24:J31)</f>
        <v>4491</v>
      </c>
    </row>
    <row r="35" customFormat="false" ht="15" hidden="false" customHeight="false" outlineLevel="0" collapsed="false">
      <c r="B35" s="69" t="s">
        <v>64</v>
      </c>
      <c r="C35" s="70" t="s">
        <v>65</v>
      </c>
      <c r="D35" s="71" t="n">
        <f aca="false">SUMIF($D$11:$D$32,C35,$F$11:$F$32)</f>
        <v>0</v>
      </c>
      <c r="H35" s="72" t="s">
        <v>66</v>
      </c>
      <c r="I35" s="71" t="n">
        <f aca="false">SUMIF($I$11:$I$22,H35,$K$11:$K$22)</f>
        <v>0</v>
      </c>
    </row>
    <row r="36" customFormat="false" ht="15" hidden="false" customHeight="false" outlineLevel="0" collapsed="false">
      <c r="B36" s="73" t="n">
        <f aca="false">SUM(D35:D39)</f>
        <v>0</v>
      </c>
      <c r="C36" s="74" t="s">
        <v>67</v>
      </c>
      <c r="D36" s="75" t="n">
        <f aca="false">SUMIF($D$11:$D$32,C36,$F$11:$F$32)</f>
        <v>0</v>
      </c>
      <c r="H36" s="76" t="s">
        <v>35</v>
      </c>
      <c r="I36" s="75" t="n">
        <f aca="false">SUMIF($I$11:$I$22,H36,$K$11:$K$22)</f>
        <v>44</v>
      </c>
    </row>
    <row r="37" customFormat="false" ht="15" hidden="false" customHeight="false" outlineLevel="0" collapsed="false">
      <c r="C37" s="74" t="s">
        <v>68</v>
      </c>
      <c r="D37" s="75" t="n">
        <f aca="false">SUMIF($D$11:$D$32,C37,$F$11:$F$32)</f>
        <v>0</v>
      </c>
      <c r="H37" s="76" t="s">
        <v>69</v>
      </c>
      <c r="I37" s="75" t="n">
        <f aca="false">SUMIF($I$11:$I$22,H37,$K$11:$K$22)</f>
        <v>0</v>
      </c>
    </row>
    <row r="38" customFormat="false" ht="15" hidden="false" customHeight="false" outlineLevel="0" collapsed="false">
      <c r="C38" s="74" t="s">
        <v>70</v>
      </c>
      <c r="D38" s="75" t="n">
        <f aca="false">SUMIF($D$11:$D$32,C38,$F$11:$F$32)</f>
        <v>0</v>
      </c>
      <c r="H38" s="76" t="s">
        <v>71</v>
      </c>
      <c r="I38" s="75" t="n">
        <f aca="false">SUMIF($I$11:$I$22,H38,$K$11:$K$22)</f>
        <v>0</v>
      </c>
    </row>
    <row r="39" customFormat="false" ht="15" hidden="false" customHeight="false" outlineLevel="0" collapsed="false">
      <c r="C39" s="77"/>
      <c r="D39" s="78" t="n">
        <f aca="false">SUMIF($D$11:$D$32,C39,$F$11:$F$32)</f>
        <v>0</v>
      </c>
      <c r="H39" s="76" t="s">
        <v>49</v>
      </c>
      <c r="I39" s="75" t="n">
        <f aca="false">SUMIF($I$11:$I$22,H39,$K$11:$K$22)</f>
        <v>90.02</v>
      </c>
    </row>
    <row r="40" customFormat="false" ht="15" hidden="false" customHeight="false" outlineLevel="0" collapsed="false">
      <c r="C40" s="79"/>
      <c r="D40" s="80"/>
      <c r="H40" s="76" t="s">
        <v>72</v>
      </c>
      <c r="I40" s="75" t="n">
        <f aca="false">SUMIF($I$11:$I$22,H40,$K$11:$K$22)</f>
        <v>210</v>
      </c>
    </row>
    <row r="41" customFormat="false" ht="15" hidden="false" customHeight="false" outlineLevel="0" collapsed="false">
      <c r="B41" s="69" t="s">
        <v>50</v>
      </c>
      <c r="C41" s="70" t="s">
        <v>73</v>
      </c>
      <c r="D41" s="71" t="n">
        <f aca="false">SUMIF($D$11:$D$32,C41,$F$11:$F$32)</f>
        <v>0</v>
      </c>
      <c r="H41" s="76" t="s">
        <v>74</v>
      </c>
      <c r="I41" s="75" t="n">
        <f aca="false">SUMIF($I$11:$I$22,H41,$K$11:$K$22)</f>
        <v>0</v>
      </c>
    </row>
    <row r="42" customFormat="false" ht="15" hidden="false" customHeight="false" outlineLevel="0" collapsed="false">
      <c r="B42" s="73" t="n">
        <f aca="false">SUBTOTAL(9,D41:D48)</f>
        <v>42</v>
      </c>
      <c r="C42" s="74" t="s">
        <v>75</v>
      </c>
      <c r="D42" s="75" t="n">
        <f aca="false">SUMIF($D$11:$D$32,C42,$F$11:$F$32)</f>
        <v>0</v>
      </c>
      <c r="H42" s="76" t="s">
        <v>42</v>
      </c>
      <c r="I42" s="75" t="n">
        <f aca="false">SUMIF($I$11:$I$22,H42,$K$11:$K$22)</f>
        <v>1012.68</v>
      </c>
    </row>
    <row r="43" customFormat="false" ht="15" hidden="false" customHeight="false" outlineLevel="0" collapsed="false">
      <c r="C43" s="74" t="s">
        <v>76</v>
      </c>
      <c r="D43" s="75" t="n">
        <f aca="false">SUMIF($D$11:$D$32,C43,$F$11:$F$32)</f>
        <v>0</v>
      </c>
      <c r="H43" s="76" t="s">
        <v>77</v>
      </c>
      <c r="I43" s="75" t="n">
        <f aca="false">SUMIF($I$11:$I$22,H43,$K$11:$K$22)</f>
        <v>0</v>
      </c>
    </row>
    <row r="44" customFormat="false" ht="15" hidden="false" customHeight="false" outlineLevel="0" collapsed="false">
      <c r="C44" s="74" t="s">
        <v>78</v>
      </c>
      <c r="D44" s="75" t="n">
        <f aca="false">SUMIF($D$11:$D$32,C44,$F$11:$F$32)</f>
        <v>0</v>
      </c>
      <c r="H44" s="76" t="s">
        <v>79</v>
      </c>
      <c r="I44" s="75" t="n">
        <f aca="false">SUMIF($I$11:$I$22,H44,$K$11:$K$22)</f>
        <v>0</v>
      </c>
    </row>
    <row r="45" customFormat="false" ht="15" hidden="false" customHeight="false" outlineLevel="0" collapsed="false">
      <c r="C45" s="74" t="s">
        <v>80</v>
      </c>
      <c r="D45" s="75" t="n">
        <f aca="false">SUMIF($D$11:$D$32,C45,$F$11:$F$32)</f>
        <v>0</v>
      </c>
      <c r="H45" s="81"/>
      <c r="I45" s="78" t="n">
        <f aca="false">SUMIF($I$11:$I$22,H45,$K$11:$K$22)</f>
        <v>0</v>
      </c>
    </row>
    <row r="46" customFormat="false" ht="15" hidden="false" customHeight="false" outlineLevel="0" collapsed="false">
      <c r="C46" s="74" t="s">
        <v>51</v>
      </c>
      <c r="D46" s="75" t="n">
        <f aca="false">SUMIF($D$11:$D$32,C46,$F$11:$F$32)</f>
        <v>42</v>
      </c>
    </row>
    <row r="47" customFormat="false" ht="15" hidden="false" customHeight="false" outlineLevel="0" collapsed="false">
      <c r="C47" s="82"/>
      <c r="D47" s="83" t="n">
        <f aca="false">SUMIF($D$11:$D$32,C47,$F$11:$F$32)</f>
        <v>0</v>
      </c>
    </row>
    <row r="48" customFormat="false" ht="15" hidden="false" customHeight="false" outlineLevel="0" collapsed="false">
      <c r="C48" s="77"/>
      <c r="D48" s="78" t="n">
        <f aca="false">SUMIF($D$11:$D$32,C48,$F$11:$F$32)</f>
        <v>0</v>
      </c>
    </row>
    <row r="49" customFormat="false" ht="15" hidden="false" customHeight="false" outlineLevel="0" collapsed="false">
      <c r="D49" s="80"/>
    </row>
    <row r="50" customFormat="false" ht="15" hidden="false" customHeight="false" outlineLevel="0" collapsed="false">
      <c r="B50" s="69" t="s">
        <v>32</v>
      </c>
      <c r="C50" s="70" t="s">
        <v>81</v>
      </c>
      <c r="D50" s="71" t="n">
        <f aca="false">SUMIF($D$11:$D$32,C50,$F$11:$F$32)</f>
        <v>0</v>
      </c>
    </row>
    <row r="51" customFormat="false" ht="15" hidden="false" customHeight="false" outlineLevel="0" collapsed="false">
      <c r="B51" s="73" t="n">
        <f aca="false">SUM(D50:D56)</f>
        <v>0</v>
      </c>
      <c r="C51" s="74" t="s">
        <v>57</v>
      </c>
      <c r="D51" s="75" t="n">
        <f aca="false">SUMIF($D$11:$D$32,C51,$F$11:$F$32)</f>
        <v>0</v>
      </c>
    </row>
    <row r="52" customFormat="false" ht="15" hidden="false" customHeight="false" outlineLevel="0" collapsed="false">
      <c r="C52" s="74" t="s">
        <v>82</v>
      </c>
      <c r="D52" s="75" t="n">
        <f aca="false">SUMIF($D$11:$D$32,C52,$F$11:$F$32)</f>
        <v>0</v>
      </c>
    </row>
    <row r="53" customFormat="false" ht="15" hidden="false" customHeight="false" outlineLevel="0" collapsed="false">
      <c r="C53" s="74" t="s">
        <v>33</v>
      </c>
      <c r="D53" s="75" t="n">
        <f aca="false">SUMIF($D$11:$D$32,C53,$F$11:$F$32)</f>
        <v>0</v>
      </c>
    </row>
    <row r="54" customFormat="false" ht="15" hidden="false" customHeight="false" outlineLevel="0" collapsed="false">
      <c r="C54" s="74" t="s">
        <v>83</v>
      </c>
      <c r="D54" s="75" t="n">
        <f aca="false">SUMIF($D$11:$D$32,C54,$F$11:$F$32)</f>
        <v>0</v>
      </c>
    </row>
    <row r="55" customFormat="false" ht="15" hidden="false" customHeight="false" outlineLevel="0" collapsed="false">
      <c r="C55" s="74" t="s">
        <v>59</v>
      </c>
      <c r="D55" s="75" t="n">
        <f aca="false">SUMIF($D$11:$D$32,C55,$F$11:$F$32)</f>
        <v>0</v>
      </c>
    </row>
    <row r="56" customFormat="false" ht="15" hidden="false" customHeight="false" outlineLevel="0" collapsed="false">
      <c r="C56" s="64"/>
      <c r="D56" s="78" t="n">
        <f aca="false">SUMIF($D$11:$D$32,C56,$F$11:$F$32)</f>
        <v>0</v>
      </c>
    </row>
    <row r="57" customFormat="false" ht="15" hidden="false" customHeight="false" outlineLevel="0" collapsed="false">
      <c r="D57" s="80"/>
    </row>
    <row r="58" customFormat="false" ht="15" hidden="false" customHeight="false" outlineLevel="0" collapsed="false">
      <c r="B58" s="69" t="s">
        <v>39</v>
      </c>
      <c r="C58" s="70" t="s">
        <v>84</v>
      </c>
      <c r="D58" s="71" t="n">
        <f aca="false">SUMIF($D$11:$D$32,C58,$F$11:$F$32)</f>
        <v>0</v>
      </c>
    </row>
    <row r="59" customFormat="false" ht="15" hidden="false" customHeight="false" outlineLevel="0" collapsed="false">
      <c r="B59" s="73" t="n">
        <f aca="false">SUM(D58:D64)</f>
        <v>0</v>
      </c>
      <c r="C59" s="74" t="s">
        <v>40</v>
      </c>
      <c r="D59" s="75" t="n">
        <f aca="false">SUMIF($D$11:$D$32,C59,$F$11:$F$32)</f>
        <v>0</v>
      </c>
    </row>
    <row r="60" customFormat="false" ht="15" hidden="false" customHeight="false" outlineLevel="0" collapsed="false">
      <c r="C60" s="74" t="s">
        <v>85</v>
      </c>
      <c r="D60" s="75" t="n">
        <f aca="false">SUMIF($D$11:$D$32,C60,$F$11:$F$32)</f>
        <v>0</v>
      </c>
    </row>
    <row r="61" customFormat="false" ht="15" hidden="false" customHeight="false" outlineLevel="0" collapsed="false">
      <c r="C61" s="74" t="s">
        <v>86</v>
      </c>
      <c r="D61" s="75" t="n">
        <f aca="false">SUMIF($D$11:$D$32,C61,$F$11:$F$32)</f>
        <v>0</v>
      </c>
    </row>
    <row r="62" customFormat="false" ht="15" hidden="false" customHeight="false" outlineLevel="0" collapsed="false">
      <c r="C62" s="74" t="s">
        <v>47</v>
      </c>
      <c r="D62" s="75" t="n">
        <f aca="false">SUMIF($D$11:$D$32,C62,$F$11:$F$32)</f>
        <v>0</v>
      </c>
    </row>
    <row r="63" customFormat="false" ht="15" hidden="false" customHeight="false" outlineLevel="0" collapsed="false">
      <c r="C63" s="74" t="s">
        <v>87</v>
      </c>
      <c r="D63" s="75" t="n">
        <f aca="false">SUMIF($D$11:$D$32,C63,$F$11:$F$32)</f>
        <v>0</v>
      </c>
    </row>
    <row r="64" customFormat="false" ht="15" hidden="false" customHeight="false" outlineLevel="0" collapsed="false">
      <c r="C64" s="64"/>
      <c r="D64" s="78" t="n">
        <f aca="false">SUMIF($D$11:$D$32,C64,$F$11:$F$32)</f>
        <v>0</v>
      </c>
    </row>
    <row r="65" customFormat="false" ht="15" hidden="false" customHeight="false" outlineLevel="0" collapsed="false">
      <c r="D65" s="80"/>
    </row>
    <row r="66" customFormat="false" ht="15" hidden="false" customHeight="false" outlineLevel="0" collapsed="false">
      <c r="B66" s="69" t="s">
        <v>88</v>
      </c>
      <c r="C66" s="70" t="s">
        <v>89</v>
      </c>
      <c r="D66" s="71" t="n">
        <f aca="false">SUMIF($D$11:$D$32,C66,$F$11:$F$32)</f>
        <v>0</v>
      </c>
    </row>
    <row r="67" customFormat="false" ht="15" hidden="false" customHeight="false" outlineLevel="0" collapsed="false">
      <c r="B67" s="73" t="n">
        <f aca="false">SUM(D66:D72)</f>
        <v>0</v>
      </c>
      <c r="C67" s="74" t="s">
        <v>90</v>
      </c>
      <c r="D67" s="75" t="n">
        <f aca="false">SUMIF($D$11:$D$32,C67,$F$11:$F$32)</f>
        <v>0</v>
      </c>
    </row>
    <row r="68" customFormat="false" ht="15" hidden="false" customHeight="false" outlineLevel="0" collapsed="false">
      <c r="C68" s="74" t="s">
        <v>91</v>
      </c>
      <c r="D68" s="75" t="n">
        <f aca="false">SUMIF($D$11:$D$32,C68,$F$11:$F$32)</f>
        <v>0</v>
      </c>
    </row>
    <row r="69" customFormat="false" ht="15" hidden="false" customHeight="false" outlineLevel="0" collapsed="false">
      <c r="C69" s="74" t="s">
        <v>92</v>
      </c>
      <c r="D69" s="75" t="n">
        <f aca="false">SUMIF($D$11:$D$32,C69,$F$11:$F$32)</f>
        <v>0</v>
      </c>
    </row>
    <row r="70" customFormat="false" ht="15" hidden="false" customHeight="false" outlineLevel="0" collapsed="false">
      <c r="C70" s="74" t="s">
        <v>93</v>
      </c>
      <c r="D70" s="75" t="n">
        <f aca="false">SUMIF($D$11:$D$32,C70,$F$11:$F$32)</f>
        <v>0</v>
      </c>
    </row>
    <row r="71" customFormat="false" ht="15" hidden="false" customHeight="false" outlineLevel="0" collapsed="false">
      <c r="C71" s="74" t="s">
        <v>94</v>
      </c>
      <c r="D71" s="75" t="n">
        <f aca="false">SUMIF($D$11:$D$32,C71,$F$11:$F$32)</f>
        <v>0</v>
      </c>
    </row>
    <row r="72" customFormat="false" ht="15" hidden="false" customHeight="false" outlineLevel="0" collapsed="false">
      <c r="C72" s="64"/>
      <c r="D72" s="78" t="n">
        <f aca="false">SUMIF($D$11:$D$32,C72,$F$11:$F$32)</f>
        <v>0</v>
      </c>
    </row>
    <row r="73" customFormat="false" ht="15" hidden="false" customHeight="false" outlineLevel="0" collapsed="false">
      <c r="D73" s="80"/>
    </row>
    <row r="74" customFormat="false" ht="15" hidden="false" customHeight="false" outlineLevel="0" collapsed="false">
      <c r="B74" s="69" t="s">
        <v>77</v>
      </c>
      <c r="C74" s="70" t="s">
        <v>95</v>
      </c>
      <c r="D74" s="71" t="n">
        <f aca="false">SUMIF($D$11:$D$32,C74,$F$11:$F$32)</f>
        <v>0</v>
      </c>
    </row>
    <row r="75" customFormat="false" ht="15" hidden="false" customHeight="false" outlineLevel="0" collapsed="false">
      <c r="B75" s="73" t="n">
        <f aca="false">SUM(D74:D80)</f>
        <v>0</v>
      </c>
      <c r="C75" s="74" t="s">
        <v>96</v>
      </c>
      <c r="D75" s="75" t="n">
        <f aca="false">SUMIF($D$11:$D$32,C75,$F$11:$F$32)</f>
        <v>0</v>
      </c>
    </row>
    <row r="76" customFormat="false" ht="15" hidden="false" customHeight="false" outlineLevel="0" collapsed="false">
      <c r="C76" s="74" t="s">
        <v>97</v>
      </c>
      <c r="D76" s="75" t="n">
        <f aca="false">SUMIF($D$11:$D$32,C76,$F$11:$F$32)</f>
        <v>0</v>
      </c>
    </row>
    <row r="77" customFormat="false" ht="15" hidden="false" customHeight="false" outlineLevel="0" collapsed="false">
      <c r="C77" s="74" t="s">
        <v>98</v>
      </c>
      <c r="D77" s="75" t="n">
        <f aca="false">SUMIF($D$11:$D$32,C77,$F$11:$F$32)</f>
        <v>0</v>
      </c>
    </row>
    <row r="78" customFormat="false" ht="15" hidden="false" customHeight="false" outlineLevel="0" collapsed="false">
      <c r="C78" s="74"/>
      <c r="D78" s="75" t="n">
        <f aca="false">SUMIF($D$11:$D$32,C78,$F$11:$F$32)</f>
        <v>0</v>
      </c>
    </row>
    <row r="79" customFormat="false" ht="15" hidden="false" customHeight="false" outlineLevel="0" collapsed="false">
      <c r="C79" s="74"/>
      <c r="D79" s="75" t="n">
        <f aca="false">SUMIF($D$11:$D$32,C79,$F$11:$F$32)</f>
        <v>0</v>
      </c>
    </row>
    <row r="80" customFormat="false" ht="15" hidden="false" customHeight="false" outlineLevel="0" collapsed="false">
      <c r="C80" s="64"/>
      <c r="D80" s="78" t="n">
        <f aca="false">SUMIF($D$11:$D$32,C80,$F$11:$F$32)</f>
        <v>0</v>
      </c>
    </row>
    <row r="81" customFormat="false" ht="15" hidden="false" customHeight="false" outlineLevel="0" collapsed="false">
      <c r="D81" s="80"/>
    </row>
    <row r="82" customFormat="false" ht="15" hidden="false" customHeight="false" outlineLevel="0" collapsed="false">
      <c r="B82" s="69" t="s">
        <v>99</v>
      </c>
      <c r="C82" s="70" t="s">
        <v>100</v>
      </c>
      <c r="D82" s="71" t="n">
        <f aca="false">SUMIF($D$11:$D$32,C82,$F$11:$F$32)</f>
        <v>0</v>
      </c>
    </row>
    <row r="83" customFormat="false" ht="15" hidden="false" customHeight="false" outlineLevel="0" collapsed="false">
      <c r="B83" s="73" t="n">
        <f aca="false">SUM(D82:D88)</f>
        <v>0</v>
      </c>
      <c r="C83" s="74" t="s">
        <v>101</v>
      </c>
      <c r="D83" s="75" t="n">
        <f aca="false">SUMIF($D$11:$D$32,C83,$F$11:$F$32)</f>
        <v>0</v>
      </c>
    </row>
    <row r="84" customFormat="false" ht="15" hidden="false" customHeight="false" outlineLevel="0" collapsed="false">
      <c r="C84" s="74" t="s">
        <v>102</v>
      </c>
      <c r="D84" s="75" t="n">
        <f aca="false">SUMIF($D$11:$D$32,C84,$F$11:$F$32)</f>
        <v>0</v>
      </c>
    </row>
    <row r="85" customFormat="false" ht="15" hidden="false" customHeight="false" outlineLevel="0" collapsed="false">
      <c r="C85" s="74" t="s">
        <v>103</v>
      </c>
      <c r="D85" s="75" t="n">
        <f aca="false">SUMIF($D$11:$D$32,C85,$F$11:$F$32)</f>
        <v>0</v>
      </c>
    </row>
    <row r="86" customFormat="false" ht="15" hidden="false" customHeight="false" outlineLevel="0" collapsed="false">
      <c r="C86" s="74" t="s">
        <v>104</v>
      </c>
      <c r="D86" s="75" t="n">
        <f aca="false">SUMIF($D$11:$D$32,C86,$F$11:$F$32)</f>
        <v>0</v>
      </c>
    </row>
    <row r="87" customFormat="false" ht="15" hidden="false" customHeight="false" outlineLevel="0" collapsed="false">
      <c r="C87" s="74" t="s">
        <v>105</v>
      </c>
      <c r="D87" s="75" t="n">
        <f aca="false">SUMIF($D$11:$D$32,C87,$F$11:$F$32)</f>
        <v>0</v>
      </c>
    </row>
    <row r="88" customFormat="false" ht="15" hidden="false" customHeight="false" outlineLevel="0" collapsed="false">
      <c r="C88" s="64"/>
      <c r="D88" s="78" t="n">
        <f aca="false">SUMIF($D$11:$D$32,C88,$F$11:$F$32)</f>
        <v>0</v>
      </c>
    </row>
    <row r="90" customFormat="false" ht="15" hidden="false" customHeight="false" outlineLevel="0" collapsed="false">
      <c r="B90" s="69" t="s">
        <v>79</v>
      </c>
      <c r="C90" s="70"/>
      <c r="D90" s="71" t="n">
        <f aca="false">SUMIF(C11:C32,B90,F11:F32)</f>
        <v>350</v>
      </c>
    </row>
  </sheetData>
  <mergeCells count="3">
    <mergeCell ref="H2:K2"/>
    <mergeCell ref="B9:F9"/>
    <mergeCell ref="H9:K9"/>
  </mergeCells>
  <dataValidations count="3">
    <dataValidation allowBlank="true" errorStyle="stop" operator="between" showDropDown="false" showErrorMessage="true" showInputMessage="true" sqref="D11:D32" type="list">
      <formula1>INDIRECT(C11)</formula1>
      <formula2>0</formula2>
    </dataValidation>
    <dataValidation allowBlank="true" errorStyle="stop" operator="between" showDropDown="false" showErrorMessage="true" showInputMessage="true" sqref="I11:I22" type="list">
      <formula1>Modelo!$R$3:$R$14</formula1>
      <formula2>0</formula2>
    </dataValidation>
    <dataValidation allowBlank="true" errorStyle="stop" operator="between" showDropDown="false" showErrorMessage="true" showInputMessage="true" sqref="C11:C32" type="list">
      <formula1>Modelo!$P$3:$P$11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DD7EE"/>
    <pageSetUpPr fitToPage="false"/>
  </sheetPr>
  <dimension ref="B2:P90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F5" activeCellId="0" sqref="F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.15"/>
    <col collapsed="false" customWidth="true" hidden="false" outlineLevel="0" max="3" min="3" style="1" width="41.57"/>
    <col collapsed="false" customWidth="true" hidden="false" outlineLevel="0" max="4" min="4" style="1" width="35"/>
    <col collapsed="false" customWidth="true" hidden="false" outlineLevel="0" max="5" min="5" style="1" width="27.29"/>
    <col collapsed="false" customWidth="true" hidden="false" outlineLevel="0" max="6" min="6" style="1" width="14.86"/>
    <col collapsed="false" customWidth="true" hidden="false" outlineLevel="0" max="7" min="7" style="1" width="2.57"/>
    <col collapsed="false" customWidth="true" hidden="false" outlineLevel="0" max="8" min="8" style="1" width="17.86"/>
    <col collapsed="false" customWidth="true" hidden="false" outlineLevel="0" max="9" min="9" style="1" width="13.71"/>
    <col collapsed="false" customWidth="true" hidden="false" outlineLevel="0" max="10" min="10" style="1" width="11.85"/>
    <col collapsed="false" customWidth="true" hidden="false" outlineLevel="0" max="11" min="11" style="1" width="28.46"/>
    <col collapsed="false" customWidth="true" hidden="false" outlineLevel="0" max="12" min="12" style="1" width="12.27"/>
    <col collapsed="false" customWidth="true" hidden="false" outlineLevel="0" max="16" min="13" style="1" width="12"/>
  </cols>
  <sheetData>
    <row r="2" customFormat="false" ht="15" hidden="false" customHeight="false" outlineLevel="0" collapsed="false">
      <c r="B2" s="2" t="s">
        <v>193</v>
      </c>
      <c r="C2" s="3" t="s">
        <v>1</v>
      </c>
      <c r="D2" s="4" t="s">
        <v>2</v>
      </c>
      <c r="E2" s="3"/>
      <c r="F2" s="5" t="s">
        <v>3</v>
      </c>
      <c r="H2" s="6"/>
      <c r="I2" s="6"/>
      <c r="J2" s="6"/>
      <c r="K2" s="6"/>
    </row>
    <row r="3" customFormat="false" ht="15" hidden="false" customHeight="false" outlineLevel="0" collapsed="false">
      <c r="B3" s="7" t="s">
        <v>4</v>
      </c>
      <c r="C3" s="8"/>
      <c r="D3" s="9" t="n">
        <v>2637</v>
      </c>
      <c r="E3" s="10" t="s">
        <v>1</v>
      </c>
      <c r="F3" s="11" t="n">
        <f aca="false">SUM(D3,D5,D6,D7,D4)</f>
        <v>3291.25</v>
      </c>
      <c r="I3" s="2" t="s">
        <v>6</v>
      </c>
      <c r="K3" s="13" t="s">
        <v>7</v>
      </c>
      <c r="L3" s="14" t="n">
        <v>809.19</v>
      </c>
    </row>
    <row r="4" customFormat="false" ht="15" hidden="false" customHeight="false" outlineLevel="0" collapsed="false">
      <c r="B4" s="15" t="s">
        <v>8</v>
      </c>
      <c r="C4" s="16"/>
      <c r="D4" s="17" t="n">
        <f aca="false">SUM(P10:P25)</f>
        <v>366.25</v>
      </c>
      <c r="E4" s="18" t="s">
        <v>9</v>
      </c>
      <c r="F4" s="19" t="n">
        <f aca="false">SUM(F11:F32)</f>
        <v>1736.43</v>
      </c>
      <c r="I4" s="20" t="n">
        <f aca="true">TODAY()</f>
        <v>46242</v>
      </c>
      <c r="K4" s="13" t="s">
        <v>11</v>
      </c>
      <c r="L4" s="14"/>
    </row>
    <row r="5" customFormat="false" ht="15" hidden="false" customHeight="false" outlineLevel="0" collapsed="false">
      <c r="B5" s="21" t="s">
        <v>12</v>
      </c>
      <c r="C5" s="22"/>
      <c r="D5" s="23"/>
      <c r="E5" s="24" t="s">
        <v>13</v>
      </c>
      <c r="F5" s="25" t="n">
        <f aca="false">D4</f>
        <v>366.25</v>
      </c>
      <c r="I5" s="26" t="s">
        <v>14</v>
      </c>
      <c r="K5" s="13" t="s">
        <v>15</v>
      </c>
      <c r="L5" s="14" t="n">
        <f aca="false">SUM(P10:P25)</f>
        <v>366.25</v>
      </c>
    </row>
    <row r="6" customFormat="false" ht="15" hidden="false" customHeight="false" outlineLevel="0" collapsed="false">
      <c r="B6" s="21" t="s">
        <v>16</v>
      </c>
      <c r="C6" s="22"/>
      <c r="D6" s="23"/>
      <c r="E6" s="27" t="s">
        <v>17</v>
      </c>
      <c r="F6" s="28" t="n">
        <f aca="false">SUM(K11:K22)</f>
        <v>1357.68</v>
      </c>
      <c r="I6" s="29" t="n">
        <v>46233</v>
      </c>
      <c r="K6" s="30" t="s">
        <v>18</v>
      </c>
      <c r="L6" s="92" t="n">
        <f aca="false">217-SUM(F16:F32)</f>
        <v>-998.55</v>
      </c>
    </row>
    <row r="7" customFormat="false" ht="15" hidden="false" customHeight="false" outlineLevel="0" collapsed="false">
      <c r="B7" s="32" t="s">
        <v>107</v>
      </c>
      <c r="C7" s="33"/>
      <c r="D7" s="34" t="n">
        <f aca="false">Jun!F7</f>
        <v>288.000000000001</v>
      </c>
      <c r="E7" s="35" t="s">
        <v>19</v>
      </c>
      <c r="F7" s="36" t="n">
        <f aca="false">F3-F4-F6</f>
        <v>197.14</v>
      </c>
    </row>
    <row r="9" customFormat="false" ht="15" hidden="false" customHeight="false" outlineLevel="0" collapsed="false">
      <c r="B9" s="37" t="s">
        <v>20</v>
      </c>
      <c r="C9" s="37"/>
      <c r="D9" s="37"/>
      <c r="E9" s="37"/>
      <c r="F9" s="37"/>
      <c r="H9" s="38" t="s">
        <v>21</v>
      </c>
      <c r="I9" s="38"/>
      <c r="J9" s="38"/>
      <c r="K9" s="38"/>
      <c r="M9" s="39" t="s">
        <v>108</v>
      </c>
      <c r="N9" s="40" t="s">
        <v>23</v>
      </c>
      <c r="O9" s="41" t="s">
        <v>24</v>
      </c>
      <c r="P9" s="42" t="s">
        <v>25</v>
      </c>
    </row>
    <row r="10" customFormat="false" ht="15" hidden="false" customHeight="false" outlineLevel="0" collapsed="false">
      <c r="B10" s="5" t="s">
        <v>6</v>
      </c>
      <c r="C10" s="5" t="s">
        <v>26</v>
      </c>
      <c r="D10" s="5" t="s">
        <v>27</v>
      </c>
      <c r="E10" s="5" t="s">
        <v>28</v>
      </c>
      <c r="F10" s="5" t="s">
        <v>2</v>
      </c>
      <c r="H10" s="5" t="s">
        <v>6</v>
      </c>
      <c r="I10" s="5" t="s">
        <v>29</v>
      </c>
      <c r="J10" s="5" t="s">
        <v>27</v>
      </c>
      <c r="K10" s="5" t="s">
        <v>2</v>
      </c>
      <c r="M10" s="43" t="s">
        <v>194</v>
      </c>
      <c r="N10" s="44"/>
      <c r="O10" s="45"/>
      <c r="P10" s="46" t="n">
        <v>200</v>
      </c>
    </row>
    <row r="11" customFormat="false" ht="15" hidden="false" customHeight="false" outlineLevel="0" collapsed="false">
      <c r="B11" s="47" t="n">
        <v>46209</v>
      </c>
      <c r="C11" s="48" t="s">
        <v>50</v>
      </c>
      <c r="D11" s="48" t="s">
        <v>195</v>
      </c>
      <c r="E11" s="48" t="s">
        <v>196</v>
      </c>
      <c r="F11" s="49" t="n">
        <v>179.7</v>
      </c>
      <c r="H11" s="50"/>
      <c r="I11" s="51" t="s">
        <v>49</v>
      </c>
      <c r="J11" s="51"/>
      <c r="K11" s="46" t="n">
        <v>20</v>
      </c>
      <c r="M11" s="52" t="s">
        <v>197</v>
      </c>
      <c r="N11" s="53"/>
      <c r="O11" s="54"/>
      <c r="P11" s="55" t="n">
        <f aca="false">200-33.75</f>
        <v>166.25</v>
      </c>
    </row>
    <row r="12" customFormat="false" ht="15" hidden="false" customHeight="false" outlineLevel="0" collapsed="false">
      <c r="B12" s="56" t="n">
        <v>46210</v>
      </c>
      <c r="C12" s="57" t="s">
        <v>64</v>
      </c>
      <c r="D12" s="57" t="s">
        <v>67</v>
      </c>
      <c r="E12" s="16" t="s">
        <v>198</v>
      </c>
      <c r="F12" s="58" t="n">
        <v>33.5</v>
      </c>
      <c r="H12" s="59"/>
      <c r="I12" s="51" t="s">
        <v>42</v>
      </c>
      <c r="J12" s="60" t="s">
        <v>159</v>
      </c>
      <c r="K12" s="55" t="n">
        <v>1012.68</v>
      </c>
      <c r="M12" s="52"/>
      <c r="N12" s="53"/>
      <c r="O12" s="54"/>
      <c r="P12" s="55"/>
    </row>
    <row r="13" customFormat="false" ht="15" hidden="false" customHeight="false" outlineLevel="0" collapsed="false">
      <c r="B13" s="56"/>
      <c r="C13" s="57" t="s">
        <v>32</v>
      </c>
      <c r="D13" s="57" t="s">
        <v>59</v>
      </c>
      <c r="E13" s="16"/>
      <c r="F13" s="58" t="n">
        <f aca="false">19.5+3.68</f>
        <v>23.18</v>
      </c>
      <c r="H13" s="59"/>
      <c r="I13" s="51" t="s">
        <v>129</v>
      </c>
      <c r="J13" s="60"/>
      <c r="K13" s="55" t="n">
        <v>35</v>
      </c>
      <c r="M13" s="52"/>
      <c r="N13" s="53"/>
      <c r="O13" s="54"/>
      <c r="P13" s="55"/>
    </row>
    <row r="14" customFormat="false" ht="15" hidden="false" customHeight="false" outlineLevel="0" collapsed="false">
      <c r="B14" s="56"/>
      <c r="C14" s="57" t="s">
        <v>50</v>
      </c>
      <c r="D14" s="57" t="s">
        <v>51</v>
      </c>
      <c r="E14" s="16" t="s">
        <v>199</v>
      </c>
      <c r="F14" s="58" t="n">
        <v>100</v>
      </c>
      <c r="H14" s="59"/>
      <c r="I14" s="51" t="s">
        <v>66</v>
      </c>
      <c r="J14" s="60"/>
      <c r="K14" s="55" t="n">
        <v>30</v>
      </c>
      <c r="M14" s="52"/>
      <c r="N14" s="53"/>
      <c r="O14" s="54"/>
      <c r="P14" s="55"/>
    </row>
    <row r="15" customFormat="false" ht="15" hidden="false" customHeight="false" outlineLevel="0" collapsed="false">
      <c r="B15" s="56"/>
      <c r="C15" s="57" t="s">
        <v>32</v>
      </c>
      <c r="D15" s="57" t="s">
        <v>59</v>
      </c>
      <c r="E15" s="16" t="s">
        <v>200</v>
      </c>
      <c r="F15" s="58" t="n">
        <v>184.5</v>
      </c>
      <c r="H15" s="59"/>
      <c r="I15" s="51" t="s">
        <v>72</v>
      </c>
      <c r="J15" s="60"/>
      <c r="K15" s="55" t="n">
        <v>260</v>
      </c>
      <c r="M15" s="52"/>
      <c r="N15" s="53"/>
      <c r="O15" s="54"/>
      <c r="P15" s="55"/>
    </row>
    <row r="16" customFormat="false" ht="15" hidden="false" customHeight="false" outlineLevel="0" collapsed="false">
      <c r="B16" s="56"/>
      <c r="C16" s="57" t="s">
        <v>50</v>
      </c>
      <c r="D16" s="57" t="s">
        <v>51</v>
      </c>
      <c r="E16" s="16" t="s">
        <v>201</v>
      </c>
      <c r="F16" s="58" t="n">
        <v>19</v>
      </c>
      <c r="H16" s="59"/>
      <c r="I16" s="51"/>
      <c r="J16" s="60"/>
      <c r="K16" s="55"/>
      <c r="M16" s="52"/>
      <c r="N16" s="53"/>
      <c r="O16" s="54"/>
      <c r="P16" s="55"/>
    </row>
    <row r="17" customFormat="false" ht="15" hidden="false" customHeight="false" outlineLevel="0" collapsed="false">
      <c r="B17" s="56"/>
      <c r="C17" s="57" t="s">
        <v>64</v>
      </c>
      <c r="D17" s="57" t="s">
        <v>67</v>
      </c>
      <c r="E17" s="16"/>
      <c r="F17" s="58" t="n">
        <v>25.9</v>
      </c>
      <c r="H17" s="59"/>
      <c r="I17" s="51"/>
      <c r="J17" s="60"/>
      <c r="K17" s="55"/>
      <c r="M17" s="52"/>
      <c r="N17" s="53"/>
      <c r="O17" s="54"/>
      <c r="P17" s="55"/>
    </row>
    <row r="18" customFormat="false" ht="15" hidden="false" customHeight="false" outlineLevel="0" collapsed="false">
      <c r="B18" s="56"/>
      <c r="C18" s="57" t="s">
        <v>39</v>
      </c>
      <c r="D18" s="57" t="s">
        <v>47</v>
      </c>
      <c r="E18" s="16"/>
      <c r="F18" s="58" t="n">
        <v>58</v>
      </c>
      <c r="H18" s="59"/>
      <c r="I18" s="51"/>
      <c r="J18" s="60"/>
      <c r="K18" s="55"/>
      <c r="M18" s="52"/>
      <c r="N18" s="53"/>
      <c r="O18" s="54"/>
      <c r="P18" s="55"/>
    </row>
    <row r="19" customFormat="false" ht="15" hidden="false" customHeight="false" outlineLevel="0" collapsed="false">
      <c r="B19" s="56"/>
      <c r="C19" s="57" t="s">
        <v>39</v>
      </c>
      <c r="D19" s="57" t="s">
        <v>86</v>
      </c>
      <c r="E19" s="16"/>
      <c r="F19" s="58" t="n">
        <v>15</v>
      </c>
      <c r="H19" s="59"/>
      <c r="I19" s="51"/>
      <c r="J19" s="60"/>
      <c r="K19" s="55"/>
      <c r="M19" s="52"/>
      <c r="N19" s="53"/>
      <c r="O19" s="54"/>
      <c r="P19" s="55"/>
    </row>
    <row r="20" customFormat="false" ht="15" hidden="false" customHeight="false" outlineLevel="0" collapsed="false">
      <c r="B20" s="56"/>
      <c r="C20" s="57" t="s">
        <v>64</v>
      </c>
      <c r="D20" s="57" t="s">
        <v>67</v>
      </c>
      <c r="E20" s="16"/>
      <c r="F20" s="58" t="n">
        <v>3.8</v>
      </c>
      <c r="H20" s="59"/>
      <c r="I20" s="51"/>
      <c r="J20" s="60"/>
      <c r="K20" s="55"/>
      <c r="M20" s="52"/>
      <c r="N20" s="53"/>
      <c r="O20" s="54"/>
      <c r="P20" s="55"/>
    </row>
    <row r="21" customFormat="false" ht="15" hidden="false" customHeight="false" outlineLevel="0" collapsed="false">
      <c r="B21" s="56"/>
      <c r="C21" s="57" t="s">
        <v>32</v>
      </c>
      <c r="D21" s="57" t="s">
        <v>81</v>
      </c>
      <c r="E21" s="16"/>
      <c r="F21" s="58" t="n">
        <v>120</v>
      </c>
      <c r="H21" s="59"/>
      <c r="I21" s="51"/>
      <c r="J21" s="60"/>
      <c r="K21" s="55"/>
      <c r="M21" s="52"/>
      <c r="N21" s="53"/>
      <c r="O21" s="54"/>
      <c r="P21" s="55"/>
    </row>
    <row r="22" customFormat="false" ht="15" hidden="false" customHeight="false" outlineLevel="0" collapsed="false">
      <c r="B22" s="56"/>
      <c r="C22" s="57" t="s">
        <v>32</v>
      </c>
      <c r="D22" s="57" t="s">
        <v>81</v>
      </c>
      <c r="E22" s="16"/>
      <c r="F22" s="58" t="n">
        <v>18</v>
      </c>
      <c r="H22" s="61"/>
      <c r="I22" s="62"/>
      <c r="J22" s="62"/>
      <c r="K22" s="63"/>
      <c r="M22" s="52"/>
      <c r="N22" s="53"/>
      <c r="O22" s="54"/>
      <c r="P22" s="55"/>
    </row>
    <row r="23" customFormat="false" ht="15" hidden="false" customHeight="false" outlineLevel="0" collapsed="false">
      <c r="B23" s="56"/>
      <c r="C23" s="57" t="s">
        <v>64</v>
      </c>
      <c r="D23" s="57" t="s">
        <v>65</v>
      </c>
      <c r="E23" s="16"/>
      <c r="F23" s="58" t="n">
        <v>21.85</v>
      </c>
      <c r="K23" s="12" t="n">
        <f aca="false">SUM(K11:K22)</f>
        <v>1357.68</v>
      </c>
      <c r="M23" s="52"/>
      <c r="N23" s="53"/>
      <c r="O23" s="54"/>
      <c r="P23" s="55"/>
    </row>
    <row r="24" customFormat="false" ht="15" hidden="false" customHeight="false" outlineLevel="0" collapsed="false">
      <c r="B24" s="56"/>
      <c r="C24" s="57" t="s">
        <v>50</v>
      </c>
      <c r="D24" s="57" t="s">
        <v>51</v>
      </c>
      <c r="E24" s="16"/>
      <c r="F24" s="58" t="n">
        <v>57.5</v>
      </c>
      <c r="M24" s="52"/>
      <c r="N24" s="53"/>
      <c r="O24" s="54"/>
      <c r="P24" s="55"/>
    </row>
    <row r="25" customFormat="false" ht="15" hidden="false" customHeight="false" outlineLevel="0" collapsed="false">
      <c r="B25" s="56"/>
      <c r="C25" s="57" t="s">
        <v>32</v>
      </c>
      <c r="D25" s="57" t="s">
        <v>81</v>
      </c>
      <c r="E25" s="16"/>
      <c r="F25" s="58" t="n">
        <v>53</v>
      </c>
      <c r="M25" s="64"/>
      <c r="N25" s="65"/>
      <c r="O25" s="66"/>
      <c r="P25" s="63"/>
    </row>
    <row r="26" customFormat="false" ht="15" hidden="false" customHeight="false" outlineLevel="0" collapsed="false">
      <c r="B26" s="56"/>
      <c r="C26" s="57" t="s">
        <v>50</v>
      </c>
      <c r="D26" s="57" t="s">
        <v>51</v>
      </c>
      <c r="E26" s="16"/>
      <c r="F26" s="58" t="n">
        <v>69</v>
      </c>
    </row>
    <row r="27" customFormat="false" ht="15" hidden="false" customHeight="false" outlineLevel="0" collapsed="false">
      <c r="B27" s="56"/>
      <c r="C27" s="57" t="s">
        <v>39</v>
      </c>
      <c r="D27" s="57" t="s">
        <v>47</v>
      </c>
      <c r="E27" s="16"/>
      <c r="F27" s="58" t="n">
        <v>750</v>
      </c>
    </row>
    <row r="28" customFormat="false" ht="15" hidden="false" customHeight="false" outlineLevel="0" collapsed="false">
      <c r="B28" s="56"/>
      <c r="C28" s="57"/>
      <c r="D28" s="57"/>
      <c r="E28" s="16"/>
      <c r="F28" s="58" t="n">
        <f aca="false">4.5</f>
        <v>4.5</v>
      </c>
    </row>
    <row r="29" customFormat="false" ht="15" hidden="false" customHeight="false" outlineLevel="0" collapsed="false">
      <c r="B29" s="56"/>
      <c r="C29" s="57"/>
      <c r="D29" s="57"/>
      <c r="E29" s="16"/>
      <c r="F29" s="58"/>
    </row>
    <row r="30" customFormat="false" ht="15" hidden="false" customHeight="false" outlineLevel="0" collapsed="false">
      <c r="B30" s="56"/>
      <c r="C30" s="57"/>
      <c r="D30" s="57"/>
      <c r="E30" s="16"/>
      <c r="F30" s="58"/>
    </row>
    <row r="31" customFormat="false" ht="15" hidden="false" customHeight="false" outlineLevel="0" collapsed="false">
      <c r="B31" s="56"/>
      <c r="C31" s="57"/>
      <c r="D31" s="57"/>
      <c r="E31" s="16"/>
      <c r="F31" s="58"/>
    </row>
    <row r="32" customFormat="false" ht="15" hidden="false" customHeight="false" outlineLevel="0" collapsed="false">
      <c r="B32" s="67"/>
      <c r="C32" s="33"/>
      <c r="D32" s="33"/>
      <c r="E32" s="33"/>
      <c r="F32" s="68"/>
    </row>
    <row r="35" customFormat="false" ht="15" hidden="false" customHeight="false" outlineLevel="0" collapsed="false">
      <c r="B35" s="69" t="s">
        <v>64</v>
      </c>
      <c r="C35" s="70" t="s">
        <v>65</v>
      </c>
      <c r="D35" s="71" t="n">
        <f aca="false">SUMIF($D$11:$D$32,C35,$F$11:$F$32)</f>
        <v>21.85</v>
      </c>
      <c r="H35" s="72" t="s">
        <v>66</v>
      </c>
      <c r="I35" s="71" t="n">
        <f aca="false">SUMIF($I$11:$I$22,H35,$K$11:$K$22)</f>
        <v>30</v>
      </c>
    </row>
    <row r="36" customFormat="false" ht="15" hidden="false" customHeight="false" outlineLevel="0" collapsed="false">
      <c r="B36" s="73" t="n">
        <f aca="false">SUM(D35:D39)</f>
        <v>85.05</v>
      </c>
      <c r="C36" s="74" t="s">
        <v>67</v>
      </c>
      <c r="D36" s="75" t="n">
        <f aca="false">SUMIF($D$11:$D$32,C36,$F$11:$F$32)</f>
        <v>63.2</v>
      </c>
      <c r="H36" s="76" t="s">
        <v>35</v>
      </c>
      <c r="I36" s="75" t="n">
        <f aca="false">SUMIF($I$11:$I$22,H36,$K$11:$K$22)</f>
        <v>0</v>
      </c>
    </row>
    <row r="37" customFormat="false" ht="15" hidden="false" customHeight="false" outlineLevel="0" collapsed="false">
      <c r="C37" s="74" t="s">
        <v>68</v>
      </c>
      <c r="D37" s="75" t="n">
        <f aca="false">SUMIF($D$11:$D$32,C37,$F$11:$F$32)</f>
        <v>0</v>
      </c>
      <c r="H37" s="76" t="s">
        <v>69</v>
      </c>
      <c r="I37" s="75" t="n">
        <f aca="false">SUMIF($I$11:$I$22,H37,$K$11:$K$22)</f>
        <v>0</v>
      </c>
    </row>
    <row r="38" customFormat="false" ht="15" hidden="false" customHeight="false" outlineLevel="0" collapsed="false">
      <c r="C38" s="74" t="s">
        <v>70</v>
      </c>
      <c r="D38" s="75" t="n">
        <f aca="false">SUMIF($D$11:$D$32,C38,$F$11:$F$32)</f>
        <v>0</v>
      </c>
      <c r="H38" s="76" t="s">
        <v>71</v>
      </c>
      <c r="I38" s="75" t="n">
        <f aca="false">SUMIF($I$11:$I$22,H38,$K$11:$K$22)</f>
        <v>0</v>
      </c>
    </row>
    <row r="39" customFormat="false" ht="15" hidden="false" customHeight="false" outlineLevel="0" collapsed="false">
      <c r="C39" s="77"/>
      <c r="D39" s="78" t="n">
        <f aca="false">SUMIF($D$11:$D$32,C39,$F$11:$F$32)</f>
        <v>0</v>
      </c>
      <c r="H39" s="76" t="s">
        <v>49</v>
      </c>
      <c r="I39" s="75" t="n">
        <f aca="false">SUMIF($I$11:$I$22,H39,$K$11:$K$22)</f>
        <v>20</v>
      </c>
    </row>
    <row r="40" customFormat="false" ht="15" hidden="false" customHeight="false" outlineLevel="0" collapsed="false">
      <c r="C40" s="79"/>
      <c r="D40" s="80"/>
      <c r="H40" s="76" t="s">
        <v>72</v>
      </c>
      <c r="I40" s="75" t="n">
        <f aca="false">SUMIF($I$11:$I$22,H40,$K$11:$K$22)</f>
        <v>260</v>
      </c>
    </row>
    <row r="41" customFormat="false" ht="15" hidden="false" customHeight="false" outlineLevel="0" collapsed="false">
      <c r="B41" s="69" t="s">
        <v>50</v>
      </c>
      <c r="C41" s="70" t="s">
        <v>73</v>
      </c>
      <c r="D41" s="71" t="n">
        <f aca="false">SUMIF($D$11:$D$32,C41,$F$11:$F$32)</f>
        <v>0</v>
      </c>
      <c r="H41" s="76" t="s">
        <v>74</v>
      </c>
      <c r="I41" s="75" t="n">
        <f aca="false">SUMIF($I$11:$I$22,H41,$K$11:$K$22)</f>
        <v>0</v>
      </c>
    </row>
    <row r="42" customFormat="false" ht="15" hidden="false" customHeight="false" outlineLevel="0" collapsed="false">
      <c r="B42" s="73" t="n">
        <f aca="false">SUBTOTAL(9,D41:D48)</f>
        <v>245.5</v>
      </c>
      <c r="C42" s="74" t="s">
        <v>75</v>
      </c>
      <c r="D42" s="75" t="n">
        <f aca="false">SUMIF($D$11:$D$32,C42,$F$11:$F$32)</f>
        <v>0</v>
      </c>
      <c r="H42" s="76" t="s">
        <v>42</v>
      </c>
      <c r="I42" s="75" t="n">
        <f aca="false">SUMIF($I$11:$I$22,H42,$K$11:$K$22)</f>
        <v>1012.68</v>
      </c>
    </row>
    <row r="43" customFormat="false" ht="15" hidden="false" customHeight="false" outlineLevel="0" collapsed="false">
      <c r="C43" s="74" t="s">
        <v>76</v>
      </c>
      <c r="D43" s="75" t="n">
        <f aca="false">SUMIF($D$11:$D$32,C43,$F$11:$F$32)</f>
        <v>0</v>
      </c>
      <c r="H43" s="76" t="s">
        <v>77</v>
      </c>
      <c r="I43" s="75" t="n">
        <f aca="false">SUMIF($I$11:$I$22,H43,$K$11:$K$22)</f>
        <v>0</v>
      </c>
    </row>
    <row r="44" customFormat="false" ht="15" hidden="false" customHeight="false" outlineLevel="0" collapsed="false">
      <c r="C44" s="74" t="s">
        <v>78</v>
      </c>
      <c r="D44" s="75" t="n">
        <f aca="false">SUMIF($D$11:$D$32,C44,$F$11:$F$32)</f>
        <v>0</v>
      </c>
      <c r="H44" s="76" t="s">
        <v>79</v>
      </c>
      <c r="I44" s="75" t="n">
        <f aca="false">SUMIF($I$11:$I$22,H44,$K$11:$K$22)</f>
        <v>0</v>
      </c>
    </row>
    <row r="45" customFormat="false" ht="15" hidden="false" customHeight="false" outlineLevel="0" collapsed="false">
      <c r="C45" s="74" t="s">
        <v>80</v>
      </c>
      <c r="D45" s="75" t="n">
        <f aca="false">SUMIF($D$11:$D$32,C45,$F$11:$F$32)</f>
        <v>0</v>
      </c>
      <c r="H45" s="81"/>
      <c r="I45" s="78" t="n">
        <f aca="false">SUMIF($I$11:$I$22,H45,$K$11:$K$22)</f>
        <v>0</v>
      </c>
    </row>
    <row r="46" customFormat="false" ht="15" hidden="false" customHeight="false" outlineLevel="0" collapsed="false">
      <c r="C46" s="74" t="s">
        <v>51</v>
      </c>
      <c r="D46" s="75" t="n">
        <f aca="false">SUMIF($D$11:$D$32,C46,$F$11:$F$32)</f>
        <v>245.5</v>
      </c>
    </row>
    <row r="47" customFormat="false" ht="15" hidden="false" customHeight="false" outlineLevel="0" collapsed="false">
      <c r="C47" s="82"/>
      <c r="D47" s="83" t="n">
        <f aca="false">SUMIF($D$11:$D$32,C47,$F$11:$F$32)</f>
        <v>0</v>
      </c>
    </row>
    <row r="48" customFormat="false" ht="15" hidden="false" customHeight="false" outlineLevel="0" collapsed="false">
      <c r="C48" s="77"/>
      <c r="D48" s="78" t="n">
        <f aca="false">SUMIF($D$11:$D$32,C48,$F$11:$F$32)</f>
        <v>0</v>
      </c>
    </row>
    <row r="49" customFormat="false" ht="15" hidden="false" customHeight="false" outlineLevel="0" collapsed="false">
      <c r="D49" s="80"/>
    </row>
    <row r="50" customFormat="false" ht="15" hidden="false" customHeight="false" outlineLevel="0" collapsed="false">
      <c r="B50" s="69" t="s">
        <v>32</v>
      </c>
      <c r="C50" s="70" t="s">
        <v>81</v>
      </c>
      <c r="D50" s="71" t="n">
        <f aca="false">SUMIF($D$11:$D$32,C50,$F$11:$F$32)</f>
        <v>191</v>
      </c>
    </row>
    <row r="51" customFormat="false" ht="15" hidden="false" customHeight="false" outlineLevel="0" collapsed="false">
      <c r="B51" s="73" t="n">
        <f aca="false">SUM(D50:D56)</f>
        <v>398.68</v>
      </c>
      <c r="C51" s="74" t="s">
        <v>57</v>
      </c>
      <c r="D51" s="75" t="n">
        <f aca="false">SUMIF($D$11:$D$32,C51,$F$11:$F$32)</f>
        <v>0</v>
      </c>
    </row>
    <row r="52" customFormat="false" ht="15" hidden="false" customHeight="false" outlineLevel="0" collapsed="false">
      <c r="C52" s="74" t="s">
        <v>82</v>
      </c>
      <c r="D52" s="75" t="n">
        <f aca="false">SUMIF($D$11:$D$32,C52,$F$11:$F$32)</f>
        <v>0</v>
      </c>
    </row>
    <row r="53" customFormat="false" ht="15" hidden="false" customHeight="false" outlineLevel="0" collapsed="false">
      <c r="C53" s="74" t="s">
        <v>33</v>
      </c>
      <c r="D53" s="75" t="n">
        <f aca="false">SUMIF($D$11:$D$32,C53,$F$11:$F$32)</f>
        <v>0</v>
      </c>
    </row>
    <row r="54" customFormat="false" ht="15" hidden="false" customHeight="false" outlineLevel="0" collapsed="false">
      <c r="C54" s="74" t="s">
        <v>83</v>
      </c>
      <c r="D54" s="75" t="n">
        <f aca="false">SUMIF($D$11:$D$32,C54,$F$11:$F$32)</f>
        <v>0</v>
      </c>
    </row>
    <row r="55" customFormat="false" ht="15" hidden="false" customHeight="false" outlineLevel="0" collapsed="false">
      <c r="C55" s="74" t="s">
        <v>59</v>
      </c>
      <c r="D55" s="75" t="n">
        <f aca="false">SUMIF($D$11:$D$32,C55,$F$11:$F$32)</f>
        <v>207.68</v>
      </c>
    </row>
    <row r="56" customFormat="false" ht="15" hidden="false" customHeight="false" outlineLevel="0" collapsed="false">
      <c r="C56" s="64"/>
      <c r="D56" s="78" t="n">
        <f aca="false">SUMIF($D$11:$D$32,C56,$F$11:$F$32)</f>
        <v>0</v>
      </c>
    </row>
    <row r="57" customFormat="false" ht="15" hidden="false" customHeight="false" outlineLevel="0" collapsed="false">
      <c r="D57" s="80"/>
    </row>
    <row r="58" customFormat="false" ht="15" hidden="false" customHeight="false" outlineLevel="0" collapsed="false">
      <c r="B58" s="69" t="s">
        <v>39</v>
      </c>
      <c r="C58" s="70" t="s">
        <v>84</v>
      </c>
      <c r="D58" s="71" t="n">
        <f aca="false">SUMIF($D$11:$D$32,C58,$F$11:$F$32)</f>
        <v>0</v>
      </c>
    </row>
    <row r="59" customFormat="false" ht="15" hidden="false" customHeight="false" outlineLevel="0" collapsed="false">
      <c r="B59" s="73" t="n">
        <f aca="false">SUM(D58:D64)</f>
        <v>823</v>
      </c>
      <c r="C59" s="74" t="s">
        <v>40</v>
      </c>
      <c r="D59" s="75" t="n">
        <f aca="false">SUMIF($D$11:$D$32,C59,$F$11:$F$32)</f>
        <v>0</v>
      </c>
    </row>
    <row r="60" customFormat="false" ht="15" hidden="false" customHeight="false" outlineLevel="0" collapsed="false">
      <c r="C60" s="74" t="s">
        <v>85</v>
      </c>
      <c r="D60" s="75" t="n">
        <f aca="false">SUMIF($D$11:$D$32,C60,$F$11:$F$32)</f>
        <v>0</v>
      </c>
    </row>
    <row r="61" customFormat="false" ht="15" hidden="false" customHeight="false" outlineLevel="0" collapsed="false">
      <c r="C61" s="74" t="s">
        <v>86</v>
      </c>
      <c r="D61" s="75" t="n">
        <f aca="false">SUMIF($D$11:$D$32,C61,$F$11:$F$32)</f>
        <v>15</v>
      </c>
    </row>
    <row r="62" customFormat="false" ht="15" hidden="false" customHeight="false" outlineLevel="0" collapsed="false">
      <c r="C62" s="74" t="s">
        <v>47</v>
      </c>
      <c r="D62" s="75" t="n">
        <f aca="false">SUMIF($D$11:$D$32,C62,$F$11:$F$32)</f>
        <v>808</v>
      </c>
    </row>
    <row r="63" customFormat="false" ht="15" hidden="false" customHeight="false" outlineLevel="0" collapsed="false">
      <c r="C63" s="74" t="s">
        <v>87</v>
      </c>
      <c r="D63" s="75" t="n">
        <f aca="false">SUMIF($D$11:$D$32,C63,$F$11:$F$32)</f>
        <v>0</v>
      </c>
    </row>
    <row r="64" customFormat="false" ht="15" hidden="false" customHeight="false" outlineLevel="0" collapsed="false">
      <c r="C64" s="64"/>
      <c r="D64" s="78" t="n">
        <f aca="false">SUMIF($D$11:$D$32,C64,$F$11:$F$32)</f>
        <v>0</v>
      </c>
    </row>
    <row r="65" customFormat="false" ht="15" hidden="false" customHeight="false" outlineLevel="0" collapsed="false">
      <c r="D65" s="80"/>
    </row>
    <row r="66" customFormat="false" ht="15" hidden="false" customHeight="false" outlineLevel="0" collapsed="false">
      <c r="B66" s="69" t="s">
        <v>88</v>
      </c>
      <c r="C66" s="70" t="s">
        <v>89</v>
      </c>
      <c r="D66" s="71" t="n">
        <f aca="false">SUMIF($D$11:$D$32,C66,$F$11:$F$32)</f>
        <v>0</v>
      </c>
    </row>
    <row r="67" customFormat="false" ht="15" hidden="false" customHeight="false" outlineLevel="0" collapsed="false">
      <c r="B67" s="73" t="n">
        <f aca="false">SUM(D66:D72)</f>
        <v>0</v>
      </c>
      <c r="C67" s="74" t="s">
        <v>90</v>
      </c>
      <c r="D67" s="75" t="n">
        <f aca="false">SUMIF($D$11:$D$32,C67,$F$11:$F$32)</f>
        <v>0</v>
      </c>
    </row>
    <row r="68" customFormat="false" ht="15" hidden="false" customHeight="false" outlineLevel="0" collapsed="false">
      <c r="C68" s="74" t="s">
        <v>91</v>
      </c>
      <c r="D68" s="75" t="n">
        <f aca="false">SUMIF($D$11:$D$32,C68,$F$11:$F$32)</f>
        <v>0</v>
      </c>
    </row>
    <row r="69" customFormat="false" ht="15" hidden="false" customHeight="false" outlineLevel="0" collapsed="false">
      <c r="C69" s="74" t="s">
        <v>92</v>
      </c>
      <c r="D69" s="75" t="n">
        <f aca="false">SUMIF($D$11:$D$32,C69,$F$11:$F$32)</f>
        <v>0</v>
      </c>
    </row>
    <row r="70" customFormat="false" ht="15" hidden="false" customHeight="false" outlineLevel="0" collapsed="false">
      <c r="C70" s="74" t="s">
        <v>93</v>
      </c>
      <c r="D70" s="75" t="n">
        <f aca="false">SUMIF($D$11:$D$32,C70,$F$11:$F$32)</f>
        <v>0</v>
      </c>
    </row>
    <row r="71" customFormat="false" ht="15" hidden="false" customHeight="false" outlineLevel="0" collapsed="false">
      <c r="C71" s="74" t="s">
        <v>94</v>
      </c>
      <c r="D71" s="75" t="n">
        <f aca="false">SUMIF($D$11:$D$32,C71,$F$11:$F$32)</f>
        <v>0</v>
      </c>
    </row>
    <row r="72" customFormat="false" ht="15" hidden="false" customHeight="false" outlineLevel="0" collapsed="false">
      <c r="C72" s="64"/>
      <c r="D72" s="78" t="n">
        <f aca="false">SUMIF($D$11:$D$32,C72,$F$11:$F$32)</f>
        <v>0</v>
      </c>
    </row>
    <row r="73" customFormat="false" ht="15" hidden="false" customHeight="false" outlineLevel="0" collapsed="false">
      <c r="D73" s="80"/>
    </row>
    <row r="74" customFormat="false" ht="15" hidden="false" customHeight="false" outlineLevel="0" collapsed="false">
      <c r="B74" s="69" t="s">
        <v>77</v>
      </c>
      <c r="C74" s="70" t="s">
        <v>95</v>
      </c>
      <c r="D74" s="71" t="n">
        <f aca="false">SUMIF($D$11:$D$32,C74,$F$11:$F$32)</f>
        <v>0</v>
      </c>
    </row>
    <row r="75" customFormat="false" ht="15" hidden="false" customHeight="false" outlineLevel="0" collapsed="false">
      <c r="B75" s="73" t="n">
        <f aca="false">SUM(D74:D80)</f>
        <v>0</v>
      </c>
      <c r="C75" s="74" t="s">
        <v>96</v>
      </c>
      <c r="D75" s="75" t="n">
        <f aca="false">SUMIF($D$11:$D$32,C75,$F$11:$F$32)</f>
        <v>0</v>
      </c>
    </row>
    <row r="76" customFormat="false" ht="15" hidden="false" customHeight="false" outlineLevel="0" collapsed="false">
      <c r="C76" s="74" t="s">
        <v>97</v>
      </c>
      <c r="D76" s="75" t="n">
        <f aca="false">SUMIF($D$11:$D$32,C76,$F$11:$F$32)</f>
        <v>0</v>
      </c>
    </row>
    <row r="77" customFormat="false" ht="15" hidden="false" customHeight="false" outlineLevel="0" collapsed="false">
      <c r="C77" s="74" t="s">
        <v>98</v>
      </c>
      <c r="D77" s="75" t="n">
        <f aca="false">SUMIF($D$11:$D$32,C77,$F$11:$F$32)</f>
        <v>0</v>
      </c>
    </row>
    <row r="78" customFormat="false" ht="15" hidden="false" customHeight="false" outlineLevel="0" collapsed="false">
      <c r="C78" s="74"/>
      <c r="D78" s="75" t="n">
        <f aca="false">SUMIF($D$11:$D$32,C78,$F$11:$F$32)</f>
        <v>0</v>
      </c>
    </row>
    <row r="79" customFormat="false" ht="15" hidden="false" customHeight="false" outlineLevel="0" collapsed="false">
      <c r="C79" s="74"/>
      <c r="D79" s="75" t="n">
        <f aca="false">SUMIF($D$11:$D$32,C79,$F$11:$F$32)</f>
        <v>0</v>
      </c>
    </row>
    <row r="80" customFormat="false" ht="15" hidden="false" customHeight="false" outlineLevel="0" collapsed="false">
      <c r="C80" s="64"/>
      <c r="D80" s="78" t="n">
        <f aca="false">SUMIF($D$11:$D$32,C80,$F$11:$F$32)</f>
        <v>0</v>
      </c>
    </row>
    <row r="81" customFormat="false" ht="15" hidden="false" customHeight="false" outlineLevel="0" collapsed="false">
      <c r="D81" s="80"/>
    </row>
    <row r="82" customFormat="false" ht="15" hidden="false" customHeight="false" outlineLevel="0" collapsed="false">
      <c r="B82" s="69" t="s">
        <v>99</v>
      </c>
      <c r="C82" s="70" t="s">
        <v>100</v>
      </c>
      <c r="D82" s="71" t="n">
        <f aca="false">SUMIF($D$11:$D$32,C82,$F$11:$F$32)</f>
        <v>0</v>
      </c>
    </row>
    <row r="83" customFormat="false" ht="15" hidden="false" customHeight="false" outlineLevel="0" collapsed="false">
      <c r="B83" s="73" t="n">
        <f aca="false">SUM(D82:D88)</f>
        <v>0</v>
      </c>
      <c r="C83" s="74" t="s">
        <v>101</v>
      </c>
      <c r="D83" s="75" t="n">
        <f aca="false">SUMIF($D$11:$D$32,C83,$F$11:$F$32)</f>
        <v>0</v>
      </c>
    </row>
    <row r="84" customFormat="false" ht="15" hidden="false" customHeight="false" outlineLevel="0" collapsed="false">
      <c r="C84" s="74" t="s">
        <v>102</v>
      </c>
      <c r="D84" s="75" t="n">
        <f aca="false">SUMIF($D$11:$D$32,C84,$F$11:$F$32)</f>
        <v>0</v>
      </c>
    </row>
    <row r="85" customFormat="false" ht="15" hidden="false" customHeight="false" outlineLevel="0" collapsed="false">
      <c r="C85" s="74" t="s">
        <v>103</v>
      </c>
      <c r="D85" s="75" t="n">
        <f aca="false">SUMIF($D$11:$D$32,C85,$F$11:$F$32)</f>
        <v>0</v>
      </c>
    </row>
    <row r="86" customFormat="false" ht="15" hidden="false" customHeight="false" outlineLevel="0" collapsed="false">
      <c r="C86" s="74" t="s">
        <v>104</v>
      </c>
      <c r="D86" s="75" t="n">
        <f aca="false">SUMIF($D$11:$D$32,C86,$F$11:$F$32)</f>
        <v>0</v>
      </c>
    </row>
    <row r="87" customFormat="false" ht="15" hidden="false" customHeight="false" outlineLevel="0" collapsed="false">
      <c r="C87" s="74" t="s">
        <v>105</v>
      </c>
      <c r="D87" s="75" t="n">
        <f aca="false">SUMIF($D$11:$D$32,C87,$F$11:$F$32)</f>
        <v>0</v>
      </c>
    </row>
    <row r="88" customFormat="false" ht="15" hidden="false" customHeight="false" outlineLevel="0" collapsed="false">
      <c r="C88" s="64"/>
      <c r="D88" s="78" t="n">
        <f aca="false">SUMIF($D$11:$D$32,C88,$F$11:$F$32)</f>
        <v>0</v>
      </c>
    </row>
    <row r="90" customFormat="false" ht="15" hidden="false" customHeight="false" outlineLevel="0" collapsed="false">
      <c r="B90" s="69" t="s">
        <v>79</v>
      </c>
      <c r="C90" s="70"/>
      <c r="D90" s="71" t="n">
        <f aca="false">SUMIF(C11:C32,B90,F11:F32)</f>
        <v>0</v>
      </c>
    </row>
  </sheetData>
  <mergeCells count="3">
    <mergeCell ref="H2:K2"/>
    <mergeCell ref="B9:F9"/>
    <mergeCell ref="H9:K9"/>
  </mergeCells>
  <dataValidations count="3">
    <dataValidation allowBlank="true" errorStyle="stop" operator="between" showDropDown="false" showErrorMessage="true" showInputMessage="true" sqref="D11:D32" type="list">
      <formula1>INDIRECT(C11)</formula1>
      <formula2>0</formula2>
    </dataValidation>
    <dataValidation allowBlank="true" errorStyle="stop" operator="between" showDropDown="false" showErrorMessage="true" showInputMessage="true" sqref="I11:I22" type="list">
      <formula1>Modelo!$R$3:$R$14</formula1>
      <formula2>0</formula2>
    </dataValidation>
    <dataValidation allowBlank="true" errorStyle="stop" operator="between" showDropDown="false" showErrorMessage="true" showInputMessage="true" sqref="C11:C32" type="list">
      <formula1>Modelo!$P$3:$P$11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DD7EE"/>
    <pageSetUpPr fitToPage="false"/>
  </sheetPr>
  <dimension ref="B2:P90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L8" activeCellId="0" sqref="L8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.15"/>
    <col collapsed="false" customWidth="true" hidden="false" outlineLevel="0" max="3" min="3" style="1" width="41.57"/>
    <col collapsed="false" customWidth="true" hidden="false" outlineLevel="0" max="4" min="4" style="1" width="37.42"/>
    <col collapsed="false" customWidth="true" hidden="false" outlineLevel="0" max="5" min="5" style="1" width="23.86"/>
    <col collapsed="false" customWidth="true" hidden="false" outlineLevel="0" max="6" min="6" style="1" width="14.86"/>
    <col collapsed="false" customWidth="true" hidden="false" outlineLevel="0" max="7" min="7" style="1" width="2.57"/>
    <col collapsed="false" customWidth="true" hidden="false" outlineLevel="0" max="8" min="8" style="1" width="17.86"/>
    <col collapsed="false" customWidth="true" hidden="false" outlineLevel="0" max="9" min="9" style="1" width="13.71"/>
    <col collapsed="false" customWidth="true" hidden="false" outlineLevel="0" max="10" min="10" style="1" width="18.71"/>
    <col collapsed="false" customWidth="true" hidden="false" outlineLevel="0" max="11" min="11" style="1" width="34.42"/>
    <col collapsed="false" customWidth="true" hidden="false" outlineLevel="0" max="12" min="12" style="1" width="10.35"/>
    <col collapsed="false" customWidth="true" hidden="false" outlineLevel="0" max="16" min="13" style="1" width="12"/>
  </cols>
  <sheetData>
    <row r="2" customFormat="false" ht="15" hidden="false" customHeight="false" outlineLevel="0" collapsed="false">
      <c r="B2" s="2" t="s">
        <v>202</v>
      </c>
      <c r="C2" s="3" t="s">
        <v>1</v>
      </c>
      <c r="D2" s="4" t="s">
        <v>2</v>
      </c>
      <c r="E2" s="3"/>
      <c r="F2" s="5" t="s">
        <v>3</v>
      </c>
      <c r="H2" s="6"/>
      <c r="I2" s="6"/>
      <c r="J2" s="6"/>
      <c r="K2" s="6"/>
    </row>
    <row r="3" customFormat="false" ht="15" hidden="false" customHeight="false" outlineLevel="0" collapsed="false">
      <c r="B3" s="7" t="s">
        <v>4</v>
      </c>
      <c r="C3" s="8"/>
      <c r="D3" s="9" t="n">
        <v>2540</v>
      </c>
      <c r="E3" s="10" t="s">
        <v>1</v>
      </c>
      <c r="F3" s="11" t="n">
        <f aca="false">SUM(D3,D5,D6,D7,D4)</f>
        <v>2737.14</v>
      </c>
      <c r="I3" s="2" t="s">
        <v>6</v>
      </c>
      <c r="K3" s="13" t="s">
        <v>7</v>
      </c>
      <c r="L3" s="14" t="n">
        <v>340</v>
      </c>
    </row>
    <row r="4" customFormat="false" ht="15" hidden="false" customHeight="false" outlineLevel="0" collapsed="false">
      <c r="B4" s="15" t="s">
        <v>8</v>
      </c>
      <c r="C4" s="16"/>
      <c r="D4" s="17" t="n">
        <f aca="false">SUM(P10:P25)</f>
        <v>0</v>
      </c>
      <c r="E4" s="18" t="s">
        <v>9</v>
      </c>
      <c r="F4" s="19" t="n">
        <f aca="false">SUM(F11:F32)</f>
        <v>312.67</v>
      </c>
      <c r="I4" s="20" t="n">
        <f aca="true">TODAY()</f>
        <v>46242</v>
      </c>
      <c r="K4" s="13" t="s">
        <v>11</v>
      </c>
      <c r="L4" s="14" t="n">
        <v>522.75</v>
      </c>
    </row>
    <row r="5" customFormat="false" ht="15" hidden="false" customHeight="false" outlineLevel="0" collapsed="false">
      <c r="B5" s="21" t="s">
        <v>12</v>
      </c>
      <c r="C5" s="22"/>
      <c r="D5" s="23"/>
      <c r="E5" s="24" t="s">
        <v>13</v>
      </c>
      <c r="F5" s="25" t="n">
        <f aca="false">D4</f>
        <v>0</v>
      </c>
      <c r="I5" s="26" t="s">
        <v>14</v>
      </c>
      <c r="K5" s="13" t="s">
        <v>15</v>
      </c>
      <c r="L5" s="14" t="n">
        <f aca="false">SUM(P10:P25)</f>
        <v>0</v>
      </c>
    </row>
    <row r="6" customFormat="false" ht="15" hidden="false" customHeight="false" outlineLevel="0" collapsed="false">
      <c r="B6" s="21" t="s">
        <v>16</v>
      </c>
      <c r="C6" s="22"/>
      <c r="D6" s="23"/>
      <c r="E6" s="27" t="s">
        <v>17</v>
      </c>
      <c r="F6" s="28" t="n">
        <f aca="false">SUM(K11:K22)</f>
        <v>1416.36</v>
      </c>
      <c r="I6" s="29" t="s">
        <v>203</v>
      </c>
      <c r="K6" s="30" t="s">
        <v>18</v>
      </c>
      <c r="L6" s="92" t="n">
        <f aca="false">246-SUM(F15:F32)</f>
        <v>246</v>
      </c>
    </row>
    <row r="7" customFormat="false" ht="15" hidden="false" customHeight="false" outlineLevel="0" collapsed="false">
      <c r="B7" s="32" t="s">
        <v>107</v>
      </c>
      <c r="C7" s="33"/>
      <c r="D7" s="34" t="n">
        <f aca="false">Jul!F7</f>
        <v>197.14</v>
      </c>
      <c r="E7" s="35" t="s">
        <v>19</v>
      </c>
      <c r="F7" s="36" t="n">
        <f aca="false">F3-F4-F6</f>
        <v>1008.11</v>
      </c>
    </row>
    <row r="9" customFormat="false" ht="15" hidden="false" customHeight="false" outlineLevel="0" collapsed="false">
      <c r="B9" s="37" t="s">
        <v>20</v>
      </c>
      <c r="C9" s="37"/>
      <c r="D9" s="37"/>
      <c r="E9" s="37"/>
      <c r="F9" s="37"/>
      <c r="H9" s="38" t="s">
        <v>21</v>
      </c>
      <c r="I9" s="38"/>
      <c r="J9" s="38"/>
      <c r="K9" s="38"/>
      <c r="M9" s="39" t="s">
        <v>108</v>
      </c>
      <c r="N9" s="40" t="s">
        <v>23</v>
      </c>
      <c r="O9" s="41" t="s">
        <v>24</v>
      </c>
      <c r="P9" s="42" t="s">
        <v>25</v>
      </c>
    </row>
    <row r="10" customFormat="false" ht="15" hidden="false" customHeight="false" outlineLevel="0" collapsed="false">
      <c r="B10" s="5" t="s">
        <v>6</v>
      </c>
      <c r="C10" s="5" t="s">
        <v>26</v>
      </c>
      <c r="D10" s="5" t="s">
        <v>27</v>
      </c>
      <c r="E10" s="5" t="s">
        <v>28</v>
      </c>
      <c r="F10" s="5" t="s">
        <v>2</v>
      </c>
      <c r="H10" s="5" t="s">
        <v>6</v>
      </c>
      <c r="I10" s="5" t="s">
        <v>29</v>
      </c>
      <c r="J10" s="5" t="s">
        <v>27</v>
      </c>
      <c r="K10" s="5" t="s">
        <v>2</v>
      </c>
      <c r="M10" s="43"/>
      <c r="N10" s="44"/>
      <c r="O10" s="45"/>
      <c r="P10" s="46"/>
    </row>
    <row r="11" customFormat="false" ht="15" hidden="false" customHeight="false" outlineLevel="0" collapsed="false">
      <c r="B11" s="47"/>
      <c r="C11" s="57" t="s">
        <v>50</v>
      </c>
      <c r="D11" s="57" t="s">
        <v>55</v>
      </c>
      <c r="E11" s="48"/>
      <c r="F11" s="49" t="n">
        <v>20</v>
      </c>
      <c r="H11" s="50"/>
      <c r="I11" s="51" t="s">
        <v>129</v>
      </c>
      <c r="J11" s="51"/>
      <c r="K11" s="46" t="n">
        <v>35</v>
      </c>
      <c r="M11" s="52"/>
      <c r="N11" s="53"/>
      <c r="O11" s="54"/>
      <c r="P11" s="55"/>
    </row>
    <row r="12" customFormat="false" ht="15" hidden="false" customHeight="false" outlineLevel="0" collapsed="false">
      <c r="B12" s="56"/>
      <c r="C12" s="57" t="s">
        <v>64</v>
      </c>
      <c r="D12" s="57"/>
      <c r="E12" s="16"/>
      <c r="F12" s="58" t="n">
        <v>4</v>
      </c>
      <c r="H12" s="59"/>
      <c r="I12" s="51" t="s">
        <v>49</v>
      </c>
      <c r="J12" s="60"/>
      <c r="K12" s="55" t="n">
        <v>72.66</v>
      </c>
      <c r="M12" s="52"/>
      <c r="N12" s="53"/>
      <c r="O12" s="54"/>
      <c r="P12" s="55"/>
    </row>
    <row r="13" customFormat="false" ht="15" hidden="false" customHeight="false" outlineLevel="0" collapsed="false">
      <c r="B13" s="56"/>
      <c r="C13" s="57" t="s">
        <v>32</v>
      </c>
      <c r="D13" s="57" t="s">
        <v>33</v>
      </c>
      <c r="E13" s="16"/>
      <c r="F13" s="58" t="n">
        <v>265.82</v>
      </c>
      <c r="H13" s="59"/>
      <c r="I13" s="51" t="s">
        <v>42</v>
      </c>
      <c r="J13" s="60"/>
      <c r="K13" s="55" t="n">
        <v>1012</v>
      </c>
      <c r="M13" s="52"/>
      <c r="N13" s="53"/>
      <c r="O13" s="54"/>
      <c r="P13" s="55"/>
    </row>
    <row r="14" customFormat="false" ht="15" hidden="false" customHeight="false" outlineLevel="0" collapsed="false">
      <c r="B14" s="56"/>
      <c r="C14" s="57" t="s">
        <v>50</v>
      </c>
      <c r="D14" s="57" t="s">
        <v>55</v>
      </c>
      <c r="E14" s="16"/>
      <c r="F14" s="58" t="n">
        <v>22.85</v>
      </c>
      <c r="H14" s="59"/>
      <c r="I14" s="51" t="s">
        <v>72</v>
      </c>
      <c r="J14" s="60"/>
      <c r="K14" s="55" t="n">
        <v>250</v>
      </c>
      <c r="M14" s="52"/>
      <c r="N14" s="53"/>
      <c r="O14" s="54"/>
      <c r="P14" s="55"/>
    </row>
    <row r="15" customFormat="false" ht="15" hidden="false" customHeight="false" outlineLevel="0" collapsed="false">
      <c r="B15" s="56"/>
      <c r="C15" s="57"/>
      <c r="D15" s="57"/>
      <c r="E15" s="16"/>
      <c r="F15" s="58"/>
      <c r="H15" s="59"/>
      <c r="I15" s="51" t="s">
        <v>66</v>
      </c>
      <c r="J15" s="60"/>
      <c r="K15" s="55" t="n">
        <v>30</v>
      </c>
      <c r="M15" s="52"/>
      <c r="N15" s="53"/>
      <c r="O15" s="54"/>
      <c r="P15" s="55"/>
    </row>
    <row r="16" customFormat="false" ht="15" hidden="false" customHeight="false" outlineLevel="0" collapsed="false">
      <c r="B16" s="56"/>
      <c r="C16" s="57"/>
      <c r="D16" s="57"/>
      <c r="E16" s="16"/>
      <c r="F16" s="58"/>
      <c r="H16" s="59"/>
      <c r="I16" s="51" t="s">
        <v>35</v>
      </c>
      <c r="J16" s="60"/>
      <c r="K16" s="55" t="n">
        <f aca="false">10+6.7</f>
        <v>16.7</v>
      </c>
      <c r="M16" s="52"/>
      <c r="N16" s="53"/>
      <c r="O16" s="54"/>
      <c r="P16" s="55"/>
    </row>
    <row r="17" customFormat="false" ht="15" hidden="false" customHeight="false" outlineLevel="0" collapsed="false">
      <c r="B17" s="56"/>
      <c r="C17" s="57"/>
      <c r="D17" s="57"/>
      <c r="E17" s="16"/>
      <c r="F17" s="58"/>
      <c r="H17" s="59"/>
      <c r="I17" s="51"/>
      <c r="J17" s="60"/>
      <c r="K17" s="55"/>
      <c r="M17" s="52"/>
      <c r="N17" s="53"/>
      <c r="O17" s="54"/>
      <c r="P17" s="55"/>
    </row>
    <row r="18" customFormat="false" ht="15" hidden="false" customHeight="false" outlineLevel="0" collapsed="false">
      <c r="B18" s="56"/>
      <c r="C18" s="57"/>
      <c r="D18" s="57"/>
      <c r="E18" s="16"/>
      <c r="F18" s="58"/>
      <c r="H18" s="59"/>
      <c r="I18" s="51"/>
      <c r="J18" s="60"/>
      <c r="K18" s="55"/>
      <c r="M18" s="52"/>
      <c r="N18" s="53"/>
      <c r="O18" s="54"/>
      <c r="P18" s="55"/>
    </row>
    <row r="19" customFormat="false" ht="15" hidden="false" customHeight="false" outlineLevel="0" collapsed="false">
      <c r="B19" s="56"/>
      <c r="C19" s="57"/>
      <c r="D19" s="57"/>
      <c r="E19" s="16"/>
      <c r="F19" s="58"/>
      <c r="H19" s="59"/>
      <c r="I19" s="51"/>
      <c r="J19" s="60"/>
      <c r="K19" s="55"/>
      <c r="M19" s="52"/>
      <c r="N19" s="53"/>
      <c r="O19" s="54"/>
      <c r="P19" s="55"/>
    </row>
    <row r="20" customFormat="false" ht="15" hidden="false" customHeight="false" outlineLevel="0" collapsed="false">
      <c r="B20" s="56"/>
      <c r="C20" s="57"/>
      <c r="D20" s="57"/>
      <c r="E20" s="16"/>
      <c r="F20" s="58"/>
      <c r="H20" s="59"/>
      <c r="I20" s="51"/>
      <c r="J20" s="60"/>
      <c r="K20" s="55"/>
      <c r="M20" s="52"/>
      <c r="N20" s="53"/>
      <c r="O20" s="54"/>
      <c r="P20" s="55"/>
    </row>
    <row r="21" customFormat="false" ht="15" hidden="false" customHeight="false" outlineLevel="0" collapsed="false">
      <c r="B21" s="56"/>
      <c r="C21" s="57"/>
      <c r="D21" s="57"/>
      <c r="E21" s="16"/>
      <c r="F21" s="58"/>
      <c r="H21" s="59"/>
      <c r="I21" s="51"/>
      <c r="J21" s="60"/>
      <c r="K21" s="55"/>
      <c r="M21" s="52"/>
      <c r="N21" s="53"/>
      <c r="O21" s="54"/>
      <c r="P21" s="55"/>
    </row>
    <row r="22" customFormat="false" ht="15" hidden="false" customHeight="false" outlineLevel="0" collapsed="false">
      <c r="B22" s="56"/>
      <c r="C22" s="57"/>
      <c r="D22" s="57"/>
      <c r="E22" s="16"/>
      <c r="F22" s="58"/>
      <c r="H22" s="61"/>
      <c r="I22" s="62"/>
      <c r="J22" s="62"/>
      <c r="K22" s="63"/>
      <c r="M22" s="52"/>
      <c r="N22" s="53"/>
      <c r="O22" s="54"/>
      <c r="P22" s="55"/>
    </row>
    <row r="23" customFormat="false" ht="15" hidden="false" customHeight="false" outlineLevel="0" collapsed="false">
      <c r="B23" s="56"/>
      <c r="C23" s="57"/>
      <c r="D23" s="57"/>
      <c r="E23" s="16"/>
      <c r="F23" s="58"/>
      <c r="K23" s="12" t="n">
        <f aca="false">SUM(K11:K22)</f>
        <v>1416.36</v>
      </c>
      <c r="M23" s="52"/>
      <c r="N23" s="53"/>
      <c r="O23" s="54"/>
      <c r="P23" s="55"/>
    </row>
    <row r="24" customFormat="false" ht="15" hidden="false" customHeight="false" outlineLevel="0" collapsed="false">
      <c r="B24" s="56"/>
      <c r="C24" s="57"/>
      <c r="D24" s="57"/>
      <c r="E24" s="16"/>
      <c r="F24" s="58"/>
      <c r="M24" s="52"/>
      <c r="N24" s="53"/>
      <c r="O24" s="54"/>
      <c r="P24" s="55"/>
    </row>
    <row r="25" customFormat="false" ht="15" hidden="false" customHeight="false" outlineLevel="0" collapsed="false">
      <c r="B25" s="56"/>
      <c r="C25" s="57"/>
      <c r="D25" s="57"/>
      <c r="E25" s="16"/>
      <c r="F25" s="58"/>
      <c r="M25" s="64"/>
      <c r="N25" s="65"/>
      <c r="O25" s="66"/>
      <c r="P25" s="63"/>
    </row>
    <row r="26" customFormat="false" ht="15" hidden="false" customHeight="false" outlineLevel="0" collapsed="false">
      <c r="B26" s="56"/>
      <c r="C26" s="57"/>
      <c r="D26" s="57"/>
      <c r="E26" s="16"/>
      <c r="F26" s="58"/>
    </row>
    <row r="27" customFormat="false" ht="15" hidden="false" customHeight="false" outlineLevel="0" collapsed="false">
      <c r="B27" s="56"/>
      <c r="C27" s="57"/>
      <c r="D27" s="57"/>
      <c r="E27" s="16"/>
      <c r="F27" s="58"/>
    </row>
    <row r="28" customFormat="false" ht="15" hidden="false" customHeight="false" outlineLevel="0" collapsed="false">
      <c r="B28" s="56"/>
      <c r="C28" s="57"/>
      <c r="D28" s="57"/>
      <c r="E28" s="16"/>
      <c r="F28" s="58"/>
    </row>
    <row r="29" customFormat="false" ht="15" hidden="false" customHeight="false" outlineLevel="0" collapsed="false">
      <c r="B29" s="56"/>
      <c r="C29" s="57"/>
      <c r="D29" s="57"/>
      <c r="E29" s="16"/>
      <c r="F29" s="58"/>
    </row>
    <row r="30" customFormat="false" ht="15" hidden="false" customHeight="false" outlineLevel="0" collapsed="false">
      <c r="B30" s="56"/>
      <c r="C30" s="57"/>
      <c r="D30" s="57"/>
      <c r="E30" s="16"/>
      <c r="F30" s="58"/>
    </row>
    <row r="31" customFormat="false" ht="15" hidden="false" customHeight="false" outlineLevel="0" collapsed="false">
      <c r="B31" s="56"/>
      <c r="C31" s="57"/>
      <c r="D31" s="57"/>
      <c r="E31" s="16"/>
      <c r="F31" s="58"/>
    </row>
    <row r="32" customFormat="false" ht="15" hidden="false" customHeight="false" outlineLevel="0" collapsed="false">
      <c r="B32" s="67"/>
      <c r="C32" s="33"/>
      <c r="D32" s="33"/>
      <c r="E32" s="33"/>
      <c r="F32" s="68"/>
    </row>
    <row r="35" customFormat="false" ht="15" hidden="false" customHeight="false" outlineLevel="0" collapsed="false">
      <c r="B35" s="69" t="s">
        <v>64</v>
      </c>
      <c r="C35" s="70" t="s">
        <v>65</v>
      </c>
      <c r="D35" s="71" t="n">
        <f aca="false">SUMIF($D$11:$D$32,C35,$F$11:$F$32)</f>
        <v>0</v>
      </c>
      <c r="H35" s="72" t="s">
        <v>66</v>
      </c>
      <c r="I35" s="71" t="n">
        <f aca="false">SUMIF($I$11:$I$22,H35,$K$11:$K$22)</f>
        <v>30</v>
      </c>
    </row>
    <row r="36" customFormat="false" ht="15" hidden="false" customHeight="false" outlineLevel="0" collapsed="false">
      <c r="B36" s="73" t="n">
        <f aca="false">SUM(D35:D39)</f>
        <v>0</v>
      </c>
      <c r="C36" s="74" t="s">
        <v>67</v>
      </c>
      <c r="D36" s="75" t="n">
        <f aca="false">SUMIF($D$11:$D$32,C36,$F$11:$F$32)</f>
        <v>0</v>
      </c>
      <c r="H36" s="76" t="s">
        <v>35</v>
      </c>
      <c r="I36" s="75" t="n">
        <f aca="false">SUMIF($I$11:$I$22,H36,$K$11:$K$22)</f>
        <v>16.7</v>
      </c>
    </row>
    <row r="37" customFormat="false" ht="15" hidden="false" customHeight="false" outlineLevel="0" collapsed="false">
      <c r="C37" s="74" t="s">
        <v>68</v>
      </c>
      <c r="D37" s="75" t="n">
        <f aca="false">SUMIF($D$11:$D$32,C37,$F$11:$F$32)</f>
        <v>0</v>
      </c>
      <c r="H37" s="76" t="s">
        <v>69</v>
      </c>
      <c r="I37" s="75" t="n">
        <f aca="false">SUMIF($I$11:$I$22,H37,$K$11:$K$22)</f>
        <v>0</v>
      </c>
    </row>
    <row r="38" customFormat="false" ht="15" hidden="false" customHeight="false" outlineLevel="0" collapsed="false">
      <c r="C38" s="74" t="s">
        <v>70</v>
      </c>
      <c r="D38" s="75" t="n">
        <f aca="false">SUMIF($D$11:$D$32,C38,$F$11:$F$32)</f>
        <v>0</v>
      </c>
      <c r="H38" s="76" t="s">
        <v>71</v>
      </c>
      <c r="I38" s="75" t="n">
        <f aca="false">SUMIF($I$11:$I$22,H38,$K$11:$K$22)</f>
        <v>0</v>
      </c>
    </row>
    <row r="39" customFormat="false" ht="15" hidden="false" customHeight="false" outlineLevel="0" collapsed="false">
      <c r="C39" s="77"/>
      <c r="D39" s="78" t="n">
        <f aca="false">SUMIF($D$11:$D$32,C39,$F$11:$F$32)</f>
        <v>0</v>
      </c>
      <c r="H39" s="76" t="s">
        <v>49</v>
      </c>
      <c r="I39" s="75" t="n">
        <f aca="false">SUMIF($I$11:$I$22,H39,$K$11:$K$22)</f>
        <v>72.66</v>
      </c>
    </row>
    <row r="40" customFormat="false" ht="15" hidden="false" customHeight="false" outlineLevel="0" collapsed="false">
      <c r="C40" s="79"/>
      <c r="D40" s="80"/>
      <c r="H40" s="76" t="s">
        <v>72</v>
      </c>
      <c r="I40" s="75" t="n">
        <f aca="false">SUMIF($I$11:$I$22,H40,$K$11:$K$22)</f>
        <v>250</v>
      </c>
    </row>
    <row r="41" customFormat="false" ht="15" hidden="false" customHeight="false" outlineLevel="0" collapsed="false">
      <c r="B41" s="69" t="s">
        <v>50</v>
      </c>
      <c r="C41" s="70" t="s">
        <v>73</v>
      </c>
      <c r="D41" s="71" t="n">
        <f aca="false">SUMIF($D$11:$D$32,C41,$F$11:$F$32)</f>
        <v>0</v>
      </c>
      <c r="H41" s="76" t="s">
        <v>74</v>
      </c>
      <c r="I41" s="75" t="n">
        <f aca="false">SUMIF($I$11:$I$22,H41,$K$11:$K$22)</f>
        <v>0</v>
      </c>
    </row>
    <row r="42" customFormat="false" ht="15" hidden="false" customHeight="false" outlineLevel="0" collapsed="false">
      <c r="B42" s="73" t="n">
        <f aca="false">SUBTOTAL(9,D41:D48)</f>
        <v>0</v>
      </c>
      <c r="C42" s="74" t="s">
        <v>75</v>
      </c>
      <c r="D42" s="75" t="n">
        <f aca="false">SUMIF($D$11:$D$32,C42,$F$11:$F$32)</f>
        <v>0</v>
      </c>
      <c r="H42" s="76" t="s">
        <v>42</v>
      </c>
      <c r="I42" s="75" t="n">
        <f aca="false">SUMIF($I$11:$I$22,H42,$K$11:$K$22)</f>
        <v>1012</v>
      </c>
    </row>
    <row r="43" customFormat="false" ht="15" hidden="false" customHeight="false" outlineLevel="0" collapsed="false">
      <c r="C43" s="74" t="s">
        <v>76</v>
      </c>
      <c r="D43" s="75" t="n">
        <f aca="false">SUMIF($D$11:$D$32,C43,$F$11:$F$32)</f>
        <v>0</v>
      </c>
      <c r="H43" s="76" t="s">
        <v>77</v>
      </c>
      <c r="I43" s="75" t="n">
        <f aca="false">SUMIF($I$11:$I$22,H43,$K$11:$K$22)</f>
        <v>0</v>
      </c>
    </row>
    <row r="44" customFormat="false" ht="15" hidden="false" customHeight="false" outlineLevel="0" collapsed="false">
      <c r="C44" s="74" t="s">
        <v>78</v>
      </c>
      <c r="D44" s="75" t="n">
        <f aca="false">SUMIF($D$11:$D$32,C44,$F$11:$F$32)</f>
        <v>0</v>
      </c>
      <c r="H44" s="76" t="s">
        <v>79</v>
      </c>
      <c r="I44" s="75" t="n">
        <f aca="false">SUMIF($I$11:$I$22,H44,$K$11:$K$22)</f>
        <v>0</v>
      </c>
    </row>
    <row r="45" customFormat="false" ht="15" hidden="false" customHeight="false" outlineLevel="0" collapsed="false">
      <c r="C45" s="74" t="s">
        <v>80</v>
      </c>
      <c r="D45" s="75" t="n">
        <f aca="false">SUMIF($D$11:$D$32,C45,$F$11:$F$32)</f>
        <v>0</v>
      </c>
      <c r="H45" s="81"/>
      <c r="I45" s="78" t="n">
        <f aca="false">SUMIF($I$11:$I$22,H45,$K$11:$K$22)</f>
        <v>0</v>
      </c>
    </row>
    <row r="46" customFormat="false" ht="15" hidden="false" customHeight="false" outlineLevel="0" collapsed="false">
      <c r="C46" s="74" t="s">
        <v>51</v>
      </c>
      <c r="D46" s="75" t="n">
        <f aca="false">SUMIF($D$11:$D$32,C46,$F$11:$F$32)</f>
        <v>0</v>
      </c>
    </row>
    <row r="47" customFormat="false" ht="15" hidden="false" customHeight="false" outlineLevel="0" collapsed="false">
      <c r="C47" s="82"/>
      <c r="D47" s="83" t="n">
        <f aca="false">SUMIF($D$11:$D$32,C47,$F$11:$F$32)</f>
        <v>0</v>
      </c>
    </row>
    <row r="48" customFormat="false" ht="15" hidden="false" customHeight="false" outlineLevel="0" collapsed="false">
      <c r="C48" s="77"/>
      <c r="D48" s="78" t="n">
        <f aca="false">SUMIF($D$11:$D$32,C48,$F$11:$F$32)</f>
        <v>0</v>
      </c>
    </row>
    <row r="49" customFormat="false" ht="15" hidden="false" customHeight="false" outlineLevel="0" collapsed="false">
      <c r="D49" s="80"/>
    </row>
    <row r="50" customFormat="false" ht="15" hidden="false" customHeight="false" outlineLevel="0" collapsed="false">
      <c r="B50" s="69" t="s">
        <v>32</v>
      </c>
      <c r="C50" s="70" t="s">
        <v>81</v>
      </c>
      <c r="D50" s="71" t="n">
        <f aca="false">SUMIF($D$11:$D$32,C50,$F$11:$F$32)</f>
        <v>0</v>
      </c>
    </row>
    <row r="51" customFormat="false" ht="15" hidden="false" customHeight="false" outlineLevel="0" collapsed="false">
      <c r="B51" s="73" t="n">
        <f aca="false">SUM(D50:D56)</f>
        <v>265.82</v>
      </c>
      <c r="C51" s="74" t="s">
        <v>57</v>
      </c>
      <c r="D51" s="75" t="n">
        <f aca="false">SUMIF($D$11:$D$32,C51,$F$11:$F$32)</f>
        <v>0</v>
      </c>
    </row>
    <row r="52" customFormat="false" ht="15" hidden="false" customHeight="false" outlineLevel="0" collapsed="false">
      <c r="C52" s="74" t="s">
        <v>82</v>
      </c>
      <c r="D52" s="75" t="n">
        <f aca="false">SUMIF($D$11:$D$32,C52,$F$11:$F$32)</f>
        <v>0</v>
      </c>
    </row>
    <row r="53" customFormat="false" ht="15" hidden="false" customHeight="false" outlineLevel="0" collapsed="false">
      <c r="C53" s="74" t="s">
        <v>33</v>
      </c>
      <c r="D53" s="75" t="n">
        <f aca="false">SUMIF($D$11:$D$32,C53,$F$11:$F$32)</f>
        <v>265.82</v>
      </c>
    </row>
    <row r="54" customFormat="false" ht="15" hidden="false" customHeight="false" outlineLevel="0" collapsed="false">
      <c r="C54" s="74" t="s">
        <v>83</v>
      </c>
      <c r="D54" s="75" t="n">
        <f aca="false">SUMIF($D$11:$D$32,C54,$F$11:$F$32)</f>
        <v>0</v>
      </c>
    </row>
    <row r="55" customFormat="false" ht="15" hidden="false" customHeight="false" outlineLevel="0" collapsed="false">
      <c r="C55" s="74" t="s">
        <v>59</v>
      </c>
      <c r="D55" s="75" t="n">
        <f aca="false">SUMIF($D$11:$D$32,C55,$F$11:$F$32)</f>
        <v>0</v>
      </c>
    </row>
    <row r="56" customFormat="false" ht="15" hidden="false" customHeight="false" outlineLevel="0" collapsed="false">
      <c r="C56" s="64"/>
      <c r="D56" s="78" t="n">
        <f aca="false">SUMIF($D$11:$D$32,C56,$F$11:$F$32)</f>
        <v>0</v>
      </c>
    </row>
    <row r="57" customFormat="false" ht="15" hidden="false" customHeight="false" outlineLevel="0" collapsed="false">
      <c r="D57" s="80"/>
    </row>
    <row r="58" customFormat="false" ht="15" hidden="false" customHeight="false" outlineLevel="0" collapsed="false">
      <c r="B58" s="69" t="s">
        <v>39</v>
      </c>
      <c r="C58" s="70" t="s">
        <v>84</v>
      </c>
      <c r="D58" s="71" t="n">
        <f aca="false">SUMIF($D$11:$D$32,C58,$F$11:$F$32)</f>
        <v>0</v>
      </c>
    </row>
    <row r="59" customFormat="false" ht="15" hidden="false" customHeight="false" outlineLevel="0" collapsed="false">
      <c r="B59" s="73" t="n">
        <f aca="false">SUM(D58:D64)</f>
        <v>0</v>
      </c>
      <c r="C59" s="74" t="s">
        <v>40</v>
      </c>
      <c r="D59" s="75" t="n">
        <f aca="false">SUMIF($D$11:$D$32,C59,$F$11:$F$32)</f>
        <v>0</v>
      </c>
    </row>
    <row r="60" customFormat="false" ht="15" hidden="false" customHeight="false" outlineLevel="0" collapsed="false">
      <c r="C60" s="74" t="s">
        <v>85</v>
      </c>
      <c r="D60" s="75" t="n">
        <f aca="false">SUMIF($D$11:$D$32,C60,$F$11:$F$32)</f>
        <v>0</v>
      </c>
    </row>
    <row r="61" customFormat="false" ht="15" hidden="false" customHeight="false" outlineLevel="0" collapsed="false">
      <c r="C61" s="74" t="s">
        <v>86</v>
      </c>
      <c r="D61" s="75" t="n">
        <f aca="false">SUMIF($D$11:$D$32,C61,$F$11:$F$32)</f>
        <v>0</v>
      </c>
    </row>
    <row r="62" customFormat="false" ht="15" hidden="false" customHeight="false" outlineLevel="0" collapsed="false">
      <c r="C62" s="74" t="s">
        <v>47</v>
      </c>
      <c r="D62" s="75" t="n">
        <f aca="false">SUMIF($D$11:$D$32,C62,$F$11:$F$32)</f>
        <v>0</v>
      </c>
    </row>
    <row r="63" customFormat="false" ht="15" hidden="false" customHeight="false" outlineLevel="0" collapsed="false">
      <c r="C63" s="74" t="s">
        <v>87</v>
      </c>
      <c r="D63" s="75" t="n">
        <f aca="false">SUMIF($D$11:$D$32,C63,$F$11:$F$32)</f>
        <v>0</v>
      </c>
    </row>
    <row r="64" customFormat="false" ht="15" hidden="false" customHeight="false" outlineLevel="0" collapsed="false">
      <c r="C64" s="64"/>
      <c r="D64" s="78" t="n">
        <f aca="false">SUMIF($D$11:$D$32,C64,$F$11:$F$32)</f>
        <v>0</v>
      </c>
    </row>
    <row r="65" customFormat="false" ht="15" hidden="false" customHeight="false" outlineLevel="0" collapsed="false">
      <c r="D65" s="80"/>
    </row>
    <row r="66" customFormat="false" ht="15" hidden="false" customHeight="false" outlineLevel="0" collapsed="false">
      <c r="B66" s="69" t="s">
        <v>88</v>
      </c>
      <c r="C66" s="70" t="s">
        <v>89</v>
      </c>
      <c r="D66" s="71" t="n">
        <f aca="false">SUMIF($D$11:$D$32,C66,$F$11:$F$32)</f>
        <v>0</v>
      </c>
    </row>
    <row r="67" customFormat="false" ht="15" hidden="false" customHeight="false" outlineLevel="0" collapsed="false">
      <c r="B67" s="73" t="n">
        <f aca="false">SUM(D66:D72)</f>
        <v>0</v>
      </c>
      <c r="C67" s="74" t="s">
        <v>90</v>
      </c>
      <c r="D67" s="75" t="n">
        <f aca="false">SUMIF($D$11:$D$32,C67,$F$11:$F$32)</f>
        <v>0</v>
      </c>
    </row>
    <row r="68" customFormat="false" ht="15" hidden="false" customHeight="false" outlineLevel="0" collapsed="false">
      <c r="C68" s="74" t="s">
        <v>91</v>
      </c>
      <c r="D68" s="75" t="n">
        <f aca="false">SUMIF($D$11:$D$32,C68,$F$11:$F$32)</f>
        <v>0</v>
      </c>
    </row>
    <row r="69" customFormat="false" ht="15" hidden="false" customHeight="false" outlineLevel="0" collapsed="false">
      <c r="C69" s="74" t="s">
        <v>92</v>
      </c>
      <c r="D69" s="75" t="n">
        <f aca="false">SUMIF($D$11:$D$32,C69,$F$11:$F$32)</f>
        <v>0</v>
      </c>
    </row>
    <row r="70" customFormat="false" ht="15" hidden="false" customHeight="false" outlineLevel="0" collapsed="false">
      <c r="C70" s="74" t="s">
        <v>93</v>
      </c>
      <c r="D70" s="75" t="n">
        <f aca="false">SUMIF($D$11:$D$32,C70,$F$11:$F$32)</f>
        <v>0</v>
      </c>
    </row>
    <row r="71" customFormat="false" ht="15" hidden="false" customHeight="false" outlineLevel="0" collapsed="false">
      <c r="C71" s="74" t="s">
        <v>94</v>
      </c>
      <c r="D71" s="75" t="n">
        <f aca="false">SUMIF($D$11:$D$32,C71,$F$11:$F$32)</f>
        <v>0</v>
      </c>
    </row>
    <row r="72" customFormat="false" ht="15" hidden="false" customHeight="false" outlineLevel="0" collapsed="false">
      <c r="C72" s="64"/>
      <c r="D72" s="78" t="n">
        <f aca="false">SUMIF($D$11:$D$32,C72,$F$11:$F$32)</f>
        <v>0</v>
      </c>
    </row>
    <row r="73" customFormat="false" ht="15" hidden="false" customHeight="false" outlineLevel="0" collapsed="false">
      <c r="D73" s="80"/>
    </row>
    <row r="74" customFormat="false" ht="15" hidden="false" customHeight="false" outlineLevel="0" collapsed="false">
      <c r="B74" s="69" t="s">
        <v>77</v>
      </c>
      <c r="C74" s="70" t="s">
        <v>95</v>
      </c>
      <c r="D74" s="71" t="n">
        <f aca="false">SUMIF($D$11:$D$32,C74,$F$11:$F$32)</f>
        <v>0</v>
      </c>
    </row>
    <row r="75" customFormat="false" ht="15" hidden="false" customHeight="false" outlineLevel="0" collapsed="false">
      <c r="B75" s="73" t="n">
        <f aca="false">SUM(D74:D80)</f>
        <v>0</v>
      </c>
      <c r="C75" s="74" t="s">
        <v>96</v>
      </c>
      <c r="D75" s="75" t="n">
        <f aca="false">SUMIF($D$11:$D$32,C75,$F$11:$F$32)</f>
        <v>0</v>
      </c>
    </row>
    <row r="76" customFormat="false" ht="15" hidden="false" customHeight="false" outlineLevel="0" collapsed="false">
      <c r="C76" s="74" t="s">
        <v>97</v>
      </c>
      <c r="D76" s="75" t="n">
        <f aca="false">SUMIF($D$11:$D$32,C76,$F$11:$F$32)</f>
        <v>0</v>
      </c>
    </row>
    <row r="77" customFormat="false" ht="15" hidden="false" customHeight="false" outlineLevel="0" collapsed="false">
      <c r="C77" s="74" t="s">
        <v>98</v>
      </c>
      <c r="D77" s="75" t="n">
        <f aca="false">SUMIF($D$11:$D$32,C77,$F$11:$F$32)</f>
        <v>0</v>
      </c>
    </row>
    <row r="78" customFormat="false" ht="15" hidden="false" customHeight="false" outlineLevel="0" collapsed="false">
      <c r="C78" s="74"/>
      <c r="D78" s="75" t="n">
        <f aca="false">SUMIF($D$11:$D$32,C78,$F$11:$F$32)</f>
        <v>0</v>
      </c>
    </row>
    <row r="79" customFormat="false" ht="15" hidden="false" customHeight="false" outlineLevel="0" collapsed="false">
      <c r="C79" s="74"/>
      <c r="D79" s="75" t="n">
        <f aca="false">SUMIF($D$11:$D$32,C79,$F$11:$F$32)</f>
        <v>0</v>
      </c>
    </row>
    <row r="80" customFormat="false" ht="15" hidden="false" customHeight="false" outlineLevel="0" collapsed="false">
      <c r="C80" s="64"/>
      <c r="D80" s="78" t="n">
        <f aca="false">SUMIF($D$11:$D$32,C80,$F$11:$F$32)</f>
        <v>0</v>
      </c>
    </row>
    <row r="81" customFormat="false" ht="15" hidden="false" customHeight="false" outlineLevel="0" collapsed="false">
      <c r="D81" s="80"/>
    </row>
    <row r="82" customFormat="false" ht="15" hidden="false" customHeight="false" outlineLevel="0" collapsed="false">
      <c r="B82" s="69" t="s">
        <v>99</v>
      </c>
      <c r="C82" s="70" t="s">
        <v>100</v>
      </c>
      <c r="D82" s="71" t="n">
        <f aca="false">SUMIF($D$11:$D$32,C82,$F$11:$F$32)</f>
        <v>0</v>
      </c>
    </row>
    <row r="83" customFormat="false" ht="15" hidden="false" customHeight="false" outlineLevel="0" collapsed="false">
      <c r="B83" s="73" t="n">
        <f aca="false">SUM(D82:D88)</f>
        <v>0</v>
      </c>
      <c r="C83" s="74" t="s">
        <v>101</v>
      </c>
      <c r="D83" s="75" t="n">
        <f aca="false">SUMIF($D$11:$D$32,C83,$F$11:$F$32)</f>
        <v>0</v>
      </c>
    </row>
    <row r="84" customFormat="false" ht="15" hidden="false" customHeight="false" outlineLevel="0" collapsed="false">
      <c r="C84" s="74" t="s">
        <v>102</v>
      </c>
      <c r="D84" s="75" t="n">
        <f aca="false">SUMIF($D$11:$D$32,C84,$F$11:$F$32)</f>
        <v>0</v>
      </c>
    </row>
    <row r="85" customFormat="false" ht="15" hidden="false" customHeight="false" outlineLevel="0" collapsed="false">
      <c r="C85" s="74" t="s">
        <v>103</v>
      </c>
      <c r="D85" s="75" t="n">
        <f aca="false">SUMIF($D$11:$D$32,C85,$F$11:$F$32)</f>
        <v>0</v>
      </c>
    </row>
    <row r="86" customFormat="false" ht="15" hidden="false" customHeight="false" outlineLevel="0" collapsed="false">
      <c r="C86" s="74" t="s">
        <v>104</v>
      </c>
      <c r="D86" s="75" t="n">
        <f aca="false">SUMIF($D$11:$D$32,C86,$F$11:$F$32)</f>
        <v>0</v>
      </c>
    </row>
    <row r="87" customFormat="false" ht="15" hidden="false" customHeight="false" outlineLevel="0" collapsed="false">
      <c r="C87" s="74" t="s">
        <v>105</v>
      </c>
      <c r="D87" s="75" t="n">
        <f aca="false">SUMIF($D$11:$D$32,C87,$F$11:$F$32)</f>
        <v>0</v>
      </c>
    </row>
    <row r="88" customFormat="false" ht="15" hidden="false" customHeight="false" outlineLevel="0" collapsed="false">
      <c r="C88" s="64"/>
      <c r="D88" s="78" t="n">
        <f aca="false">SUMIF($D$11:$D$32,C88,$F$11:$F$32)</f>
        <v>0</v>
      </c>
    </row>
    <row r="90" customFormat="false" ht="15" hidden="false" customHeight="false" outlineLevel="0" collapsed="false">
      <c r="B90" s="69" t="s">
        <v>79</v>
      </c>
      <c r="C90" s="70"/>
      <c r="D90" s="71" t="n">
        <f aca="false">SUMIF(C11:C32,B90,F11:F32)</f>
        <v>0</v>
      </c>
    </row>
  </sheetData>
  <mergeCells count="3">
    <mergeCell ref="H2:K2"/>
    <mergeCell ref="B9:F9"/>
    <mergeCell ref="H9:K9"/>
  </mergeCells>
  <dataValidations count="3">
    <dataValidation allowBlank="true" errorStyle="stop" operator="between" showDropDown="false" showErrorMessage="true" showInputMessage="true" sqref="D11:D32" type="list">
      <formula1>INDIRECT(C11)</formula1>
      <formula2>0</formula2>
    </dataValidation>
    <dataValidation allowBlank="true" errorStyle="stop" operator="between" showDropDown="false" showErrorMessage="true" showInputMessage="true" sqref="I11:I22" type="list">
      <formula1>Modelo!$R$3:$R$14</formula1>
      <formula2>0</formula2>
    </dataValidation>
    <dataValidation allowBlank="true" errorStyle="stop" operator="between" showDropDown="false" showErrorMessage="true" showInputMessage="true" sqref="C11:C32" type="list">
      <formula1>Modelo!$P$3:$P$11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DD7EE"/>
    <pageSetUpPr fitToPage="false"/>
  </sheetPr>
  <dimension ref="B2:P90"/>
  <sheetViews>
    <sheetView showFormulas="false" showGridLines="false" showRowColHeaders="true" showZeros="true" rightToLeft="false" tabSelected="false" showOutlineSymbols="true" defaultGridColor="true" view="normal" topLeftCell="A3" colorId="64" zoomScale="110" zoomScaleNormal="110" zoomScalePageLayoutView="100" workbookViewId="0">
      <selection pane="topLeft" activeCell="D91" activeCellId="0" sqref="D9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.15"/>
    <col collapsed="false" customWidth="true" hidden="false" outlineLevel="0" max="3" min="3" style="1" width="41.57"/>
    <col collapsed="false" customWidth="true" hidden="false" outlineLevel="0" max="4" min="4" style="1" width="35"/>
    <col collapsed="false" customWidth="true" hidden="false" outlineLevel="0" max="5" min="5" style="1" width="33"/>
    <col collapsed="false" customWidth="true" hidden="false" outlineLevel="0" max="6" min="6" style="1" width="14.86"/>
    <col collapsed="false" customWidth="true" hidden="false" outlineLevel="0" max="7" min="7" style="1" width="2.57"/>
    <col collapsed="false" customWidth="true" hidden="false" outlineLevel="0" max="8" min="8" style="1" width="19.42"/>
    <col collapsed="false" customWidth="true" hidden="false" outlineLevel="0" max="9" min="9" style="1" width="13.71"/>
    <col collapsed="false" customWidth="true" hidden="false" outlineLevel="0" max="10" min="10" style="1" width="11.85"/>
    <col collapsed="false" customWidth="true" hidden="false" outlineLevel="0" max="11" min="11" style="1" width="34.42"/>
    <col collapsed="false" customWidth="true" hidden="false" outlineLevel="0" max="12" min="12" style="1" width="8.42"/>
    <col collapsed="false" customWidth="true" hidden="false" outlineLevel="0" max="16" min="13" style="1" width="12"/>
  </cols>
  <sheetData>
    <row r="2" customFormat="false" ht="15" hidden="false" customHeight="false" outlineLevel="0" collapsed="false">
      <c r="B2" s="2" t="s">
        <v>204</v>
      </c>
      <c r="C2" s="3" t="s">
        <v>1</v>
      </c>
      <c r="D2" s="4" t="s">
        <v>2</v>
      </c>
      <c r="E2" s="3"/>
      <c r="F2" s="5" t="s">
        <v>3</v>
      </c>
      <c r="H2" s="6"/>
      <c r="I2" s="6"/>
      <c r="J2" s="6"/>
      <c r="K2" s="6"/>
    </row>
    <row r="3" customFormat="false" ht="15" hidden="false" customHeight="false" outlineLevel="0" collapsed="false">
      <c r="B3" s="7" t="s">
        <v>4</v>
      </c>
      <c r="C3" s="8"/>
      <c r="D3" s="9"/>
      <c r="E3" s="10" t="s">
        <v>1</v>
      </c>
      <c r="F3" s="11" t="n">
        <f aca="false">SUM(D3,D5,D6,D7,D4)</f>
        <v>1008.11</v>
      </c>
      <c r="I3" s="2" t="s">
        <v>6</v>
      </c>
      <c r="K3" s="13" t="s">
        <v>7</v>
      </c>
      <c r="L3" s="14"/>
    </row>
    <row r="4" customFormat="false" ht="15" hidden="false" customHeight="false" outlineLevel="0" collapsed="false">
      <c r="B4" s="15" t="s">
        <v>8</v>
      </c>
      <c r="C4" s="16"/>
      <c r="D4" s="17" t="n">
        <f aca="false">SUM(P10:P25)</f>
        <v>0</v>
      </c>
      <c r="E4" s="18" t="s">
        <v>9</v>
      </c>
      <c r="F4" s="19" t="n">
        <f aca="false">SUM(F11:F32)</f>
        <v>0</v>
      </c>
      <c r="I4" s="20" t="n">
        <f aca="true">TODAY()</f>
        <v>46242</v>
      </c>
      <c r="K4" s="13" t="s">
        <v>11</v>
      </c>
      <c r="L4" s="14"/>
    </row>
    <row r="5" customFormat="false" ht="15" hidden="false" customHeight="false" outlineLevel="0" collapsed="false">
      <c r="B5" s="21" t="s">
        <v>12</v>
      </c>
      <c r="C5" s="22"/>
      <c r="D5" s="23"/>
      <c r="E5" s="24" t="s">
        <v>13</v>
      </c>
      <c r="F5" s="25" t="n">
        <f aca="false">D4</f>
        <v>0</v>
      </c>
      <c r="I5" s="26" t="s">
        <v>14</v>
      </c>
      <c r="K5" s="13" t="s">
        <v>15</v>
      </c>
      <c r="L5" s="14" t="n">
        <f aca="false">SUM(P10:P25)</f>
        <v>0</v>
      </c>
    </row>
    <row r="6" customFormat="false" ht="15" hidden="false" customHeight="false" outlineLevel="0" collapsed="false">
      <c r="B6" s="21" t="s">
        <v>16</v>
      </c>
      <c r="C6" s="22"/>
      <c r="D6" s="23"/>
      <c r="E6" s="27" t="s">
        <v>17</v>
      </c>
      <c r="F6" s="28" t="n">
        <f aca="false">SUM(K11:K22)</f>
        <v>0</v>
      </c>
      <c r="I6" s="29" t="n">
        <v>45847</v>
      </c>
      <c r="K6" s="30" t="s">
        <v>18</v>
      </c>
      <c r="L6" s="31"/>
    </row>
    <row r="7" customFormat="false" ht="15" hidden="false" customHeight="false" outlineLevel="0" collapsed="false">
      <c r="B7" s="32" t="s">
        <v>107</v>
      </c>
      <c r="C7" s="33"/>
      <c r="D7" s="34" t="n">
        <f aca="false">Ago!F7</f>
        <v>1008.11</v>
      </c>
      <c r="E7" s="35" t="s">
        <v>19</v>
      </c>
      <c r="F7" s="36" t="n">
        <f aca="false">F3-F4-F6</f>
        <v>1008.11</v>
      </c>
    </row>
    <row r="9" customFormat="false" ht="15" hidden="false" customHeight="false" outlineLevel="0" collapsed="false">
      <c r="B9" s="37" t="s">
        <v>20</v>
      </c>
      <c r="C9" s="37"/>
      <c r="D9" s="37"/>
      <c r="E9" s="37"/>
      <c r="F9" s="37"/>
      <c r="H9" s="38" t="s">
        <v>21</v>
      </c>
      <c r="I9" s="38"/>
      <c r="J9" s="38"/>
      <c r="K9" s="38"/>
      <c r="M9" s="39" t="s">
        <v>108</v>
      </c>
      <c r="N9" s="40" t="s">
        <v>23</v>
      </c>
      <c r="O9" s="41" t="s">
        <v>24</v>
      </c>
      <c r="P9" s="42" t="s">
        <v>25</v>
      </c>
    </row>
    <row r="10" customFormat="false" ht="15" hidden="false" customHeight="false" outlineLevel="0" collapsed="false">
      <c r="B10" s="5" t="s">
        <v>6</v>
      </c>
      <c r="C10" s="5" t="s">
        <v>26</v>
      </c>
      <c r="D10" s="5" t="s">
        <v>27</v>
      </c>
      <c r="E10" s="5" t="s">
        <v>28</v>
      </c>
      <c r="F10" s="5" t="s">
        <v>2</v>
      </c>
      <c r="H10" s="5" t="s">
        <v>6</v>
      </c>
      <c r="I10" s="5" t="s">
        <v>29</v>
      </c>
      <c r="J10" s="5" t="s">
        <v>27</v>
      </c>
      <c r="K10" s="5" t="s">
        <v>2</v>
      </c>
      <c r="M10" s="43"/>
      <c r="N10" s="44"/>
      <c r="O10" s="45"/>
      <c r="P10" s="46"/>
    </row>
    <row r="11" customFormat="false" ht="15" hidden="false" customHeight="false" outlineLevel="0" collapsed="false">
      <c r="B11" s="47"/>
      <c r="C11" s="93"/>
      <c r="D11" s="93"/>
      <c r="E11" s="48"/>
      <c r="F11" s="49"/>
      <c r="H11" s="50"/>
      <c r="I11" s="94"/>
      <c r="J11" s="51"/>
      <c r="K11" s="46"/>
      <c r="M11" s="52"/>
      <c r="N11" s="53"/>
      <c r="O11" s="54"/>
      <c r="P11" s="55"/>
    </row>
    <row r="12" customFormat="false" ht="15" hidden="false" customHeight="false" outlineLevel="0" collapsed="false">
      <c r="B12" s="56"/>
      <c r="C12" s="16"/>
      <c r="D12" s="16"/>
      <c r="E12" s="16"/>
      <c r="F12" s="58"/>
      <c r="H12" s="59"/>
      <c r="I12" s="94"/>
      <c r="J12" s="60"/>
      <c r="K12" s="55"/>
      <c r="M12" s="52"/>
      <c r="N12" s="53"/>
      <c r="O12" s="54"/>
      <c r="P12" s="55"/>
    </row>
    <row r="13" customFormat="false" ht="15" hidden="false" customHeight="false" outlineLevel="0" collapsed="false">
      <c r="B13" s="56"/>
      <c r="C13" s="16"/>
      <c r="D13" s="16"/>
      <c r="E13" s="16"/>
      <c r="F13" s="58"/>
      <c r="H13" s="59"/>
      <c r="I13" s="94"/>
      <c r="J13" s="60"/>
      <c r="K13" s="55"/>
      <c r="M13" s="52"/>
      <c r="N13" s="53"/>
      <c r="O13" s="54"/>
      <c r="P13" s="55"/>
    </row>
    <row r="14" customFormat="false" ht="15" hidden="false" customHeight="false" outlineLevel="0" collapsed="false">
      <c r="B14" s="56"/>
      <c r="C14" s="16"/>
      <c r="D14" s="16"/>
      <c r="E14" s="16"/>
      <c r="F14" s="58"/>
      <c r="H14" s="59"/>
      <c r="I14" s="94"/>
      <c r="J14" s="60"/>
      <c r="K14" s="55"/>
      <c r="M14" s="52"/>
      <c r="N14" s="53"/>
      <c r="O14" s="54"/>
      <c r="P14" s="55"/>
    </row>
    <row r="15" customFormat="false" ht="15" hidden="false" customHeight="false" outlineLevel="0" collapsed="false">
      <c r="B15" s="56"/>
      <c r="C15" s="16"/>
      <c r="D15" s="16"/>
      <c r="E15" s="16"/>
      <c r="F15" s="58"/>
      <c r="H15" s="59"/>
      <c r="I15" s="94"/>
      <c r="J15" s="60"/>
      <c r="K15" s="55"/>
      <c r="M15" s="52"/>
      <c r="N15" s="53"/>
      <c r="O15" s="54"/>
      <c r="P15" s="55"/>
    </row>
    <row r="16" customFormat="false" ht="15" hidden="false" customHeight="false" outlineLevel="0" collapsed="false">
      <c r="B16" s="56"/>
      <c r="C16" s="16"/>
      <c r="D16" s="16"/>
      <c r="E16" s="16"/>
      <c r="F16" s="58"/>
      <c r="H16" s="59"/>
      <c r="I16" s="94"/>
      <c r="J16" s="60"/>
      <c r="K16" s="55"/>
      <c r="M16" s="52"/>
      <c r="N16" s="53"/>
      <c r="O16" s="54"/>
      <c r="P16" s="55"/>
    </row>
    <row r="17" customFormat="false" ht="15" hidden="false" customHeight="false" outlineLevel="0" collapsed="false">
      <c r="B17" s="56"/>
      <c r="C17" s="16"/>
      <c r="D17" s="16"/>
      <c r="E17" s="16"/>
      <c r="F17" s="58"/>
      <c r="H17" s="59"/>
      <c r="I17" s="94"/>
      <c r="J17" s="60"/>
      <c r="K17" s="55"/>
      <c r="M17" s="52"/>
      <c r="N17" s="53"/>
      <c r="O17" s="54"/>
      <c r="P17" s="55"/>
    </row>
    <row r="18" customFormat="false" ht="15" hidden="false" customHeight="false" outlineLevel="0" collapsed="false">
      <c r="B18" s="56"/>
      <c r="C18" s="16"/>
      <c r="D18" s="16"/>
      <c r="E18" s="16"/>
      <c r="F18" s="58"/>
      <c r="H18" s="59"/>
      <c r="I18" s="94"/>
      <c r="J18" s="60"/>
      <c r="K18" s="55"/>
      <c r="M18" s="52"/>
      <c r="N18" s="53"/>
      <c r="O18" s="54"/>
      <c r="P18" s="55"/>
    </row>
    <row r="19" customFormat="false" ht="15" hidden="false" customHeight="false" outlineLevel="0" collapsed="false">
      <c r="B19" s="56"/>
      <c r="C19" s="16"/>
      <c r="D19" s="16"/>
      <c r="E19" s="16"/>
      <c r="F19" s="58"/>
      <c r="H19" s="59"/>
      <c r="I19" s="94"/>
      <c r="J19" s="60"/>
      <c r="K19" s="55"/>
      <c r="M19" s="52"/>
      <c r="N19" s="53"/>
      <c r="O19" s="54"/>
      <c r="P19" s="55"/>
    </row>
    <row r="20" customFormat="false" ht="15" hidden="false" customHeight="false" outlineLevel="0" collapsed="false">
      <c r="B20" s="56"/>
      <c r="C20" s="16"/>
      <c r="D20" s="16"/>
      <c r="E20" s="16"/>
      <c r="F20" s="58"/>
      <c r="H20" s="59"/>
      <c r="I20" s="94"/>
      <c r="J20" s="60"/>
      <c r="K20" s="55"/>
      <c r="M20" s="52"/>
      <c r="N20" s="53"/>
      <c r="O20" s="54"/>
      <c r="P20" s="55"/>
    </row>
    <row r="21" customFormat="false" ht="15" hidden="false" customHeight="false" outlineLevel="0" collapsed="false">
      <c r="B21" s="56"/>
      <c r="C21" s="16"/>
      <c r="D21" s="16"/>
      <c r="E21" s="16"/>
      <c r="F21" s="58"/>
      <c r="H21" s="59"/>
      <c r="I21" s="94"/>
      <c r="J21" s="60"/>
      <c r="K21" s="55"/>
      <c r="M21" s="52"/>
      <c r="N21" s="53"/>
      <c r="O21" s="54"/>
      <c r="P21" s="55"/>
    </row>
    <row r="22" customFormat="false" ht="15" hidden="false" customHeight="false" outlineLevel="0" collapsed="false">
      <c r="B22" s="56"/>
      <c r="C22" s="16"/>
      <c r="D22" s="16"/>
      <c r="E22" s="16"/>
      <c r="F22" s="58"/>
      <c r="H22" s="61"/>
      <c r="I22" s="62"/>
      <c r="J22" s="62"/>
      <c r="K22" s="63"/>
      <c r="M22" s="52"/>
      <c r="N22" s="53"/>
      <c r="O22" s="54"/>
      <c r="P22" s="55"/>
    </row>
    <row r="23" customFormat="false" ht="15" hidden="false" customHeight="false" outlineLevel="0" collapsed="false">
      <c r="B23" s="56"/>
      <c r="C23" s="16"/>
      <c r="D23" s="16"/>
      <c r="E23" s="16"/>
      <c r="F23" s="58"/>
      <c r="K23" s="12" t="n">
        <f aca="false">SUM(K11:K22)</f>
        <v>0</v>
      </c>
      <c r="M23" s="52"/>
      <c r="N23" s="53"/>
      <c r="O23" s="54"/>
      <c r="P23" s="55"/>
    </row>
    <row r="24" customFormat="false" ht="15" hidden="false" customHeight="false" outlineLevel="0" collapsed="false">
      <c r="B24" s="56"/>
      <c r="C24" s="16"/>
      <c r="D24" s="16"/>
      <c r="E24" s="16"/>
      <c r="F24" s="58"/>
      <c r="M24" s="52"/>
      <c r="N24" s="53"/>
      <c r="O24" s="54"/>
      <c r="P24" s="55"/>
    </row>
    <row r="25" customFormat="false" ht="15" hidden="false" customHeight="false" outlineLevel="0" collapsed="false">
      <c r="B25" s="56"/>
      <c r="C25" s="16"/>
      <c r="D25" s="16"/>
      <c r="E25" s="16"/>
      <c r="F25" s="58"/>
      <c r="M25" s="64"/>
      <c r="N25" s="65"/>
      <c r="O25" s="66"/>
      <c r="P25" s="63"/>
    </row>
    <row r="26" customFormat="false" ht="15" hidden="false" customHeight="false" outlineLevel="0" collapsed="false">
      <c r="B26" s="56"/>
      <c r="C26" s="16"/>
      <c r="D26" s="16"/>
      <c r="E26" s="16"/>
      <c r="F26" s="58"/>
    </row>
    <row r="27" customFormat="false" ht="15" hidden="false" customHeight="false" outlineLevel="0" collapsed="false">
      <c r="B27" s="56"/>
      <c r="C27" s="16"/>
      <c r="D27" s="16"/>
      <c r="E27" s="16"/>
      <c r="F27" s="58"/>
    </row>
    <row r="28" customFormat="false" ht="15" hidden="false" customHeight="false" outlineLevel="0" collapsed="false">
      <c r="B28" s="56"/>
      <c r="C28" s="16"/>
      <c r="D28" s="16"/>
      <c r="E28" s="16"/>
      <c r="F28" s="58"/>
    </row>
    <row r="29" customFormat="false" ht="15" hidden="false" customHeight="false" outlineLevel="0" collapsed="false">
      <c r="B29" s="56"/>
      <c r="C29" s="16"/>
      <c r="D29" s="16"/>
      <c r="E29" s="16"/>
      <c r="F29" s="58"/>
    </row>
    <row r="30" customFormat="false" ht="15" hidden="false" customHeight="false" outlineLevel="0" collapsed="false">
      <c r="B30" s="56"/>
      <c r="C30" s="16"/>
      <c r="D30" s="16"/>
      <c r="E30" s="16"/>
      <c r="F30" s="58"/>
    </row>
    <row r="31" customFormat="false" ht="15" hidden="false" customHeight="false" outlineLevel="0" collapsed="false">
      <c r="B31" s="56"/>
      <c r="C31" s="16"/>
      <c r="D31" s="16"/>
      <c r="E31" s="16"/>
      <c r="F31" s="58"/>
    </row>
    <row r="32" customFormat="false" ht="15" hidden="false" customHeight="false" outlineLevel="0" collapsed="false">
      <c r="B32" s="67"/>
      <c r="C32" s="33"/>
      <c r="D32" s="33"/>
      <c r="E32" s="33"/>
      <c r="F32" s="68"/>
    </row>
    <row r="35" customFormat="false" ht="15" hidden="false" customHeight="false" outlineLevel="0" collapsed="false">
      <c r="B35" s="69" t="s">
        <v>64</v>
      </c>
      <c r="C35" s="70" t="s">
        <v>65</v>
      </c>
      <c r="D35" s="71" t="n">
        <f aca="false">SUMIF($D$11:$D$32,C35,$F$11:$F$32)</f>
        <v>0</v>
      </c>
      <c r="H35" s="72" t="s">
        <v>66</v>
      </c>
      <c r="I35" s="71" t="n">
        <f aca="false">SUMIF($I$11:$I$22,H35,$K$11:$K$22)</f>
        <v>0</v>
      </c>
    </row>
    <row r="36" customFormat="false" ht="15" hidden="false" customHeight="false" outlineLevel="0" collapsed="false">
      <c r="B36" s="73" t="n">
        <f aca="false">SUM(D35:D39)</f>
        <v>0</v>
      </c>
      <c r="C36" s="74" t="s">
        <v>67</v>
      </c>
      <c r="D36" s="75" t="n">
        <f aca="false">SUMIF($D$11:$D$32,C36,$F$11:$F$32)</f>
        <v>0</v>
      </c>
      <c r="H36" s="76" t="s">
        <v>35</v>
      </c>
      <c r="I36" s="75" t="n">
        <f aca="false">SUMIF($I$11:$I$22,H36,$K$11:$K$22)</f>
        <v>0</v>
      </c>
    </row>
    <row r="37" customFormat="false" ht="15" hidden="false" customHeight="false" outlineLevel="0" collapsed="false">
      <c r="C37" s="74" t="s">
        <v>68</v>
      </c>
      <c r="D37" s="75" t="n">
        <f aca="false">SUMIF($D$11:$D$32,C37,$F$11:$F$32)</f>
        <v>0</v>
      </c>
      <c r="H37" s="76" t="s">
        <v>69</v>
      </c>
      <c r="I37" s="75" t="n">
        <f aca="false">SUMIF($I$11:$I$22,H37,$K$11:$K$22)</f>
        <v>0</v>
      </c>
    </row>
    <row r="38" customFormat="false" ht="15" hidden="false" customHeight="false" outlineLevel="0" collapsed="false">
      <c r="C38" s="74" t="s">
        <v>70</v>
      </c>
      <c r="D38" s="75" t="n">
        <f aca="false">SUMIF($D$11:$D$32,C38,$F$11:$F$32)</f>
        <v>0</v>
      </c>
      <c r="H38" s="76" t="s">
        <v>71</v>
      </c>
      <c r="I38" s="75" t="n">
        <f aca="false">SUMIF($I$11:$I$22,H38,$K$11:$K$22)</f>
        <v>0</v>
      </c>
    </row>
    <row r="39" customFormat="false" ht="15" hidden="false" customHeight="false" outlineLevel="0" collapsed="false">
      <c r="C39" s="77"/>
      <c r="D39" s="78" t="n">
        <f aca="false">SUMIF($D$11:$D$32,C39,$F$11:$F$32)</f>
        <v>0</v>
      </c>
      <c r="H39" s="76" t="s">
        <v>49</v>
      </c>
      <c r="I39" s="75" t="n">
        <f aca="false">SUMIF($I$11:$I$22,H39,$K$11:$K$22)</f>
        <v>0</v>
      </c>
    </row>
    <row r="40" customFormat="false" ht="15" hidden="false" customHeight="false" outlineLevel="0" collapsed="false">
      <c r="C40" s="79"/>
      <c r="D40" s="80"/>
      <c r="H40" s="76" t="s">
        <v>72</v>
      </c>
      <c r="I40" s="75" t="n">
        <f aca="false">SUMIF($I$11:$I$22,H40,$K$11:$K$22)</f>
        <v>0</v>
      </c>
    </row>
    <row r="41" customFormat="false" ht="15" hidden="false" customHeight="false" outlineLevel="0" collapsed="false">
      <c r="B41" s="69" t="s">
        <v>50</v>
      </c>
      <c r="C41" s="70" t="s">
        <v>73</v>
      </c>
      <c r="D41" s="71" t="n">
        <f aca="false">SUMIF($D$11:$D$32,C41,$F$11:$F$32)</f>
        <v>0</v>
      </c>
      <c r="H41" s="76" t="s">
        <v>74</v>
      </c>
      <c r="I41" s="75" t="n">
        <f aca="false">SUMIF($I$11:$I$22,H41,$K$11:$K$22)</f>
        <v>0</v>
      </c>
    </row>
    <row r="42" customFormat="false" ht="15" hidden="false" customHeight="false" outlineLevel="0" collapsed="false">
      <c r="B42" s="73" t="n">
        <f aca="false">SUBTOTAL(9,D41:D48)</f>
        <v>0</v>
      </c>
      <c r="C42" s="74" t="s">
        <v>75</v>
      </c>
      <c r="D42" s="75" t="n">
        <f aca="false">SUMIF($D$11:$D$32,C42,$F$11:$F$32)</f>
        <v>0</v>
      </c>
      <c r="H42" s="76" t="s">
        <v>42</v>
      </c>
      <c r="I42" s="75" t="n">
        <f aca="false">SUMIF($I$11:$I$22,H42,$K$11:$K$22)</f>
        <v>0</v>
      </c>
    </row>
    <row r="43" customFormat="false" ht="15" hidden="false" customHeight="false" outlineLevel="0" collapsed="false">
      <c r="C43" s="74" t="s">
        <v>76</v>
      </c>
      <c r="D43" s="75" t="n">
        <f aca="false">SUMIF($D$11:$D$32,C43,$F$11:$F$32)</f>
        <v>0</v>
      </c>
      <c r="H43" s="76" t="s">
        <v>77</v>
      </c>
      <c r="I43" s="75" t="n">
        <f aca="false">SUMIF($I$11:$I$22,H43,$K$11:$K$22)</f>
        <v>0</v>
      </c>
    </row>
    <row r="44" customFormat="false" ht="15" hidden="false" customHeight="false" outlineLevel="0" collapsed="false">
      <c r="C44" s="74" t="s">
        <v>78</v>
      </c>
      <c r="D44" s="75" t="n">
        <f aca="false">SUMIF($D$11:$D$32,C44,$F$11:$F$32)</f>
        <v>0</v>
      </c>
      <c r="H44" s="76" t="s">
        <v>79</v>
      </c>
      <c r="I44" s="75" t="n">
        <f aca="false">SUMIF($I$11:$I$22,H44,$K$11:$K$22)</f>
        <v>0</v>
      </c>
    </row>
    <row r="45" customFormat="false" ht="15" hidden="false" customHeight="false" outlineLevel="0" collapsed="false">
      <c r="C45" s="74" t="s">
        <v>80</v>
      </c>
      <c r="D45" s="75" t="n">
        <f aca="false">SUMIF($D$11:$D$32,C45,$F$11:$F$32)</f>
        <v>0</v>
      </c>
      <c r="H45" s="81"/>
      <c r="I45" s="78" t="n">
        <f aca="false">SUMIF($I$11:$I$22,H45,$K$11:$K$22)</f>
        <v>0</v>
      </c>
    </row>
    <row r="46" customFormat="false" ht="15" hidden="false" customHeight="false" outlineLevel="0" collapsed="false">
      <c r="C46" s="74" t="s">
        <v>51</v>
      </c>
      <c r="D46" s="75" t="n">
        <f aca="false">SUMIF($D$11:$D$32,C46,$F$11:$F$32)</f>
        <v>0</v>
      </c>
    </row>
    <row r="47" customFormat="false" ht="15" hidden="false" customHeight="false" outlineLevel="0" collapsed="false">
      <c r="C47" s="82"/>
      <c r="D47" s="83" t="n">
        <f aca="false">SUMIF($D$11:$D$32,C47,$F$11:$F$32)</f>
        <v>0</v>
      </c>
    </row>
    <row r="48" customFormat="false" ht="15" hidden="false" customHeight="false" outlineLevel="0" collapsed="false">
      <c r="C48" s="77"/>
      <c r="D48" s="78" t="n">
        <f aca="false">SUMIF($D$11:$D$32,C48,$F$11:$F$32)</f>
        <v>0</v>
      </c>
    </row>
    <row r="49" customFormat="false" ht="15" hidden="false" customHeight="false" outlineLevel="0" collapsed="false">
      <c r="D49" s="80"/>
    </row>
    <row r="50" customFormat="false" ht="15" hidden="false" customHeight="false" outlineLevel="0" collapsed="false">
      <c r="B50" s="69" t="s">
        <v>32</v>
      </c>
      <c r="C50" s="70" t="s">
        <v>81</v>
      </c>
      <c r="D50" s="71" t="n">
        <f aca="false">SUMIF($D$11:$D$32,C50,$F$11:$F$32)</f>
        <v>0</v>
      </c>
    </row>
    <row r="51" customFormat="false" ht="15" hidden="false" customHeight="false" outlineLevel="0" collapsed="false">
      <c r="B51" s="73" t="n">
        <f aca="false">SUM(D50:D56)</f>
        <v>0</v>
      </c>
      <c r="C51" s="74" t="s">
        <v>57</v>
      </c>
      <c r="D51" s="75" t="n">
        <f aca="false">SUMIF($D$11:$D$32,C51,$F$11:$F$32)</f>
        <v>0</v>
      </c>
    </row>
    <row r="52" customFormat="false" ht="15" hidden="false" customHeight="false" outlineLevel="0" collapsed="false">
      <c r="C52" s="74" t="s">
        <v>82</v>
      </c>
      <c r="D52" s="75" t="n">
        <f aca="false">SUMIF($D$11:$D$32,C52,$F$11:$F$32)</f>
        <v>0</v>
      </c>
    </row>
    <row r="53" customFormat="false" ht="15" hidden="false" customHeight="false" outlineLevel="0" collapsed="false">
      <c r="C53" s="74" t="s">
        <v>33</v>
      </c>
      <c r="D53" s="75" t="n">
        <f aca="false">SUMIF($D$11:$D$32,C53,$F$11:$F$32)</f>
        <v>0</v>
      </c>
    </row>
    <row r="54" customFormat="false" ht="15" hidden="false" customHeight="false" outlineLevel="0" collapsed="false">
      <c r="C54" s="74" t="s">
        <v>83</v>
      </c>
      <c r="D54" s="75" t="n">
        <f aca="false">SUMIF($D$11:$D$32,C54,$F$11:$F$32)</f>
        <v>0</v>
      </c>
    </row>
    <row r="55" customFormat="false" ht="15" hidden="false" customHeight="false" outlineLevel="0" collapsed="false">
      <c r="C55" s="74" t="s">
        <v>59</v>
      </c>
      <c r="D55" s="75" t="n">
        <f aca="false">SUMIF($D$11:$D$32,C55,$F$11:$F$32)</f>
        <v>0</v>
      </c>
    </row>
    <row r="56" customFormat="false" ht="15" hidden="false" customHeight="false" outlineLevel="0" collapsed="false">
      <c r="C56" s="64"/>
      <c r="D56" s="78" t="n">
        <f aca="false">SUMIF($D$11:$D$32,C56,$F$11:$F$32)</f>
        <v>0</v>
      </c>
    </row>
    <row r="57" customFormat="false" ht="15" hidden="false" customHeight="false" outlineLevel="0" collapsed="false">
      <c r="D57" s="80"/>
    </row>
    <row r="58" customFormat="false" ht="15" hidden="false" customHeight="false" outlineLevel="0" collapsed="false">
      <c r="B58" s="69" t="s">
        <v>39</v>
      </c>
      <c r="C58" s="70" t="s">
        <v>84</v>
      </c>
      <c r="D58" s="71" t="n">
        <f aca="false">SUMIF($D$11:$D$32,C58,$F$11:$F$32)</f>
        <v>0</v>
      </c>
    </row>
    <row r="59" customFormat="false" ht="15" hidden="false" customHeight="false" outlineLevel="0" collapsed="false">
      <c r="B59" s="73" t="n">
        <f aca="false">SUM(D58:D64)</f>
        <v>0</v>
      </c>
      <c r="C59" s="74" t="s">
        <v>40</v>
      </c>
      <c r="D59" s="75" t="n">
        <f aca="false">SUMIF($D$11:$D$32,C59,$F$11:$F$32)</f>
        <v>0</v>
      </c>
    </row>
    <row r="60" customFormat="false" ht="15" hidden="false" customHeight="false" outlineLevel="0" collapsed="false">
      <c r="C60" s="74" t="s">
        <v>85</v>
      </c>
      <c r="D60" s="75" t="n">
        <f aca="false">SUMIF($D$11:$D$32,C60,$F$11:$F$32)</f>
        <v>0</v>
      </c>
    </row>
    <row r="61" customFormat="false" ht="15" hidden="false" customHeight="false" outlineLevel="0" collapsed="false">
      <c r="C61" s="74" t="s">
        <v>86</v>
      </c>
      <c r="D61" s="75" t="n">
        <f aca="false">SUMIF($D$11:$D$32,C61,$F$11:$F$32)</f>
        <v>0</v>
      </c>
    </row>
    <row r="62" customFormat="false" ht="15" hidden="false" customHeight="false" outlineLevel="0" collapsed="false">
      <c r="C62" s="74" t="s">
        <v>47</v>
      </c>
      <c r="D62" s="75" t="n">
        <f aca="false">SUMIF($D$11:$D$32,C62,$F$11:$F$32)</f>
        <v>0</v>
      </c>
    </row>
    <row r="63" customFormat="false" ht="15" hidden="false" customHeight="false" outlineLevel="0" collapsed="false">
      <c r="C63" s="74" t="s">
        <v>87</v>
      </c>
      <c r="D63" s="75" t="n">
        <f aca="false">SUMIF($D$11:$D$32,C63,$F$11:$F$32)</f>
        <v>0</v>
      </c>
    </row>
    <row r="64" customFormat="false" ht="15" hidden="false" customHeight="false" outlineLevel="0" collapsed="false">
      <c r="C64" s="64"/>
      <c r="D64" s="78" t="n">
        <f aca="false">SUMIF($D$11:$D$32,C64,$F$11:$F$32)</f>
        <v>0</v>
      </c>
    </row>
    <row r="65" customFormat="false" ht="15" hidden="false" customHeight="false" outlineLevel="0" collapsed="false">
      <c r="D65" s="80"/>
    </row>
    <row r="66" customFormat="false" ht="15" hidden="false" customHeight="false" outlineLevel="0" collapsed="false">
      <c r="B66" s="69" t="s">
        <v>88</v>
      </c>
      <c r="C66" s="70" t="s">
        <v>89</v>
      </c>
      <c r="D66" s="71" t="n">
        <f aca="false">SUMIF($D$11:$D$32,C66,$F$11:$F$32)</f>
        <v>0</v>
      </c>
    </row>
    <row r="67" customFormat="false" ht="15" hidden="false" customHeight="false" outlineLevel="0" collapsed="false">
      <c r="B67" s="73" t="n">
        <f aca="false">SUM(D66:D72)</f>
        <v>0</v>
      </c>
      <c r="C67" s="74" t="s">
        <v>90</v>
      </c>
      <c r="D67" s="75" t="n">
        <f aca="false">SUMIF($D$11:$D$32,C67,$F$11:$F$32)</f>
        <v>0</v>
      </c>
    </row>
    <row r="68" customFormat="false" ht="15" hidden="false" customHeight="false" outlineLevel="0" collapsed="false">
      <c r="C68" s="74" t="s">
        <v>91</v>
      </c>
      <c r="D68" s="75" t="n">
        <f aca="false">SUMIF($D$11:$D$32,C68,$F$11:$F$32)</f>
        <v>0</v>
      </c>
    </row>
    <row r="69" customFormat="false" ht="15" hidden="false" customHeight="false" outlineLevel="0" collapsed="false">
      <c r="C69" s="74" t="s">
        <v>92</v>
      </c>
      <c r="D69" s="75" t="n">
        <f aca="false">SUMIF($D$11:$D$32,C69,$F$11:$F$32)</f>
        <v>0</v>
      </c>
    </row>
    <row r="70" customFormat="false" ht="15" hidden="false" customHeight="false" outlineLevel="0" collapsed="false">
      <c r="C70" s="74" t="s">
        <v>93</v>
      </c>
      <c r="D70" s="75" t="n">
        <f aca="false">SUMIF($D$11:$D$32,C70,$F$11:$F$32)</f>
        <v>0</v>
      </c>
    </row>
    <row r="71" customFormat="false" ht="15" hidden="false" customHeight="false" outlineLevel="0" collapsed="false">
      <c r="C71" s="74" t="s">
        <v>94</v>
      </c>
      <c r="D71" s="75" t="n">
        <f aca="false">SUMIF($D$11:$D$32,C71,$F$11:$F$32)</f>
        <v>0</v>
      </c>
    </row>
    <row r="72" customFormat="false" ht="15" hidden="false" customHeight="false" outlineLevel="0" collapsed="false">
      <c r="C72" s="64"/>
      <c r="D72" s="78" t="n">
        <f aca="false">SUMIF($D$11:$D$32,C72,$F$11:$F$32)</f>
        <v>0</v>
      </c>
    </row>
    <row r="73" customFormat="false" ht="15" hidden="false" customHeight="false" outlineLevel="0" collapsed="false">
      <c r="D73" s="80"/>
    </row>
    <row r="74" customFormat="false" ht="15" hidden="false" customHeight="false" outlineLevel="0" collapsed="false">
      <c r="B74" s="69" t="s">
        <v>77</v>
      </c>
      <c r="C74" s="70" t="s">
        <v>95</v>
      </c>
      <c r="D74" s="71" t="n">
        <f aca="false">SUMIF($D$11:$D$32,C74,$F$11:$F$32)</f>
        <v>0</v>
      </c>
    </row>
    <row r="75" customFormat="false" ht="15" hidden="false" customHeight="false" outlineLevel="0" collapsed="false">
      <c r="B75" s="73" t="n">
        <f aca="false">SUM(D74:D80)</f>
        <v>0</v>
      </c>
      <c r="C75" s="74" t="s">
        <v>96</v>
      </c>
      <c r="D75" s="75" t="n">
        <f aca="false">SUMIF($D$11:$D$32,C75,$F$11:$F$32)</f>
        <v>0</v>
      </c>
    </row>
    <row r="76" customFormat="false" ht="15" hidden="false" customHeight="false" outlineLevel="0" collapsed="false">
      <c r="C76" s="74" t="s">
        <v>97</v>
      </c>
      <c r="D76" s="75" t="n">
        <f aca="false">SUMIF($D$11:$D$32,C76,$F$11:$F$32)</f>
        <v>0</v>
      </c>
    </row>
    <row r="77" customFormat="false" ht="15" hidden="false" customHeight="false" outlineLevel="0" collapsed="false">
      <c r="C77" s="74" t="s">
        <v>98</v>
      </c>
      <c r="D77" s="75" t="n">
        <f aca="false">SUMIF($D$11:$D$32,C77,$F$11:$F$32)</f>
        <v>0</v>
      </c>
    </row>
    <row r="78" customFormat="false" ht="15" hidden="false" customHeight="false" outlineLevel="0" collapsed="false">
      <c r="C78" s="74"/>
      <c r="D78" s="75" t="n">
        <f aca="false">SUMIF($D$11:$D$32,C78,$F$11:$F$32)</f>
        <v>0</v>
      </c>
    </row>
    <row r="79" customFormat="false" ht="15" hidden="false" customHeight="false" outlineLevel="0" collapsed="false">
      <c r="C79" s="74"/>
      <c r="D79" s="75" t="n">
        <f aca="false">SUMIF($D$11:$D$32,C79,$F$11:$F$32)</f>
        <v>0</v>
      </c>
    </row>
    <row r="80" customFormat="false" ht="15" hidden="false" customHeight="false" outlineLevel="0" collapsed="false">
      <c r="C80" s="64"/>
      <c r="D80" s="78" t="n">
        <f aca="false">SUMIF($D$11:$D$32,C80,$F$11:$F$32)</f>
        <v>0</v>
      </c>
    </row>
    <row r="81" customFormat="false" ht="15" hidden="false" customHeight="false" outlineLevel="0" collapsed="false">
      <c r="D81" s="80"/>
    </row>
    <row r="82" customFormat="false" ht="15" hidden="false" customHeight="false" outlineLevel="0" collapsed="false">
      <c r="B82" s="69" t="s">
        <v>99</v>
      </c>
      <c r="C82" s="70" t="s">
        <v>100</v>
      </c>
      <c r="D82" s="71" t="n">
        <f aca="false">SUMIF($D$11:$D$32,C82,$F$11:$F$32)</f>
        <v>0</v>
      </c>
    </row>
    <row r="83" customFormat="false" ht="15" hidden="false" customHeight="false" outlineLevel="0" collapsed="false">
      <c r="B83" s="73" t="n">
        <f aca="false">SUM(D82:D88)</f>
        <v>0</v>
      </c>
      <c r="C83" s="74" t="s">
        <v>101</v>
      </c>
      <c r="D83" s="75" t="n">
        <f aca="false">SUMIF($D$11:$D$32,C83,$F$11:$F$32)</f>
        <v>0</v>
      </c>
    </row>
    <row r="84" customFormat="false" ht="15" hidden="false" customHeight="false" outlineLevel="0" collapsed="false">
      <c r="C84" s="74" t="s">
        <v>102</v>
      </c>
      <c r="D84" s="75" t="n">
        <f aca="false">SUMIF($D$11:$D$32,C84,$F$11:$F$32)</f>
        <v>0</v>
      </c>
    </row>
    <row r="85" customFormat="false" ht="15" hidden="false" customHeight="false" outlineLevel="0" collapsed="false">
      <c r="C85" s="74" t="s">
        <v>103</v>
      </c>
      <c r="D85" s="75" t="n">
        <f aca="false">SUMIF($D$11:$D$32,C85,$F$11:$F$32)</f>
        <v>0</v>
      </c>
    </row>
    <row r="86" customFormat="false" ht="15" hidden="false" customHeight="false" outlineLevel="0" collapsed="false">
      <c r="C86" s="74" t="s">
        <v>104</v>
      </c>
      <c r="D86" s="75" t="n">
        <f aca="false">SUMIF($D$11:$D$32,C86,$F$11:$F$32)</f>
        <v>0</v>
      </c>
    </row>
    <row r="87" customFormat="false" ht="15" hidden="false" customHeight="false" outlineLevel="0" collapsed="false">
      <c r="C87" s="74" t="s">
        <v>105</v>
      </c>
      <c r="D87" s="75" t="n">
        <f aca="false">SUMIF($D$11:$D$32,C87,$F$11:$F$32)</f>
        <v>0</v>
      </c>
    </row>
    <row r="88" customFormat="false" ht="15" hidden="false" customHeight="false" outlineLevel="0" collapsed="false">
      <c r="C88" s="64"/>
      <c r="D88" s="78" t="n">
        <f aca="false">SUMIF($D$11:$D$32,C88,$F$11:$F$32)</f>
        <v>0</v>
      </c>
    </row>
    <row r="90" customFormat="false" ht="15" hidden="false" customHeight="false" outlineLevel="0" collapsed="false">
      <c r="B90" s="69" t="s">
        <v>79</v>
      </c>
      <c r="C90" s="70"/>
      <c r="D90" s="71" t="n">
        <f aca="false">SUMIF(C11:C32,B90,F11:F32)</f>
        <v>0</v>
      </c>
    </row>
  </sheetData>
  <mergeCells count="3">
    <mergeCell ref="H2:K2"/>
    <mergeCell ref="B9:F9"/>
    <mergeCell ref="H9:K9"/>
  </mergeCells>
  <dataValidations count="3">
    <dataValidation allowBlank="true" errorStyle="stop" operator="between" showDropDown="false" showErrorMessage="true" showInputMessage="true" sqref="D11:D32" type="list">
      <formula1>INDIRECT(C11)</formula1>
      <formula2>0</formula2>
    </dataValidation>
    <dataValidation allowBlank="true" errorStyle="stop" operator="between" showDropDown="false" showErrorMessage="true" showInputMessage="true" sqref="I11:I22" type="list">
      <formula1>Modelo!$R$3:$R$14</formula1>
      <formula2>0</formula2>
    </dataValidation>
    <dataValidation allowBlank="true" errorStyle="stop" operator="between" showDropDown="false" showErrorMessage="true" showInputMessage="true" sqref="C11:C32" type="list">
      <formula1>Modelo!$P$3:$P$11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DD7EE"/>
    <pageSetUpPr fitToPage="false"/>
  </sheetPr>
  <dimension ref="B2:P90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D91" activeCellId="0" sqref="D9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.15"/>
    <col collapsed="false" customWidth="true" hidden="false" outlineLevel="0" max="3" min="3" style="1" width="41.57"/>
    <col collapsed="false" customWidth="true" hidden="false" outlineLevel="0" max="4" min="4" style="1" width="38.86"/>
    <col collapsed="false" customWidth="true" hidden="false" outlineLevel="0" max="5" min="5" style="1" width="22"/>
    <col collapsed="false" customWidth="true" hidden="false" outlineLevel="0" max="6" min="6" style="1" width="14.86"/>
    <col collapsed="false" customWidth="true" hidden="false" outlineLevel="0" max="7" min="7" style="1" width="2.57"/>
    <col collapsed="false" customWidth="true" hidden="false" outlineLevel="0" max="8" min="8" style="1" width="19.57"/>
    <col collapsed="false" customWidth="true" hidden="false" outlineLevel="0" max="9" min="9" style="1" width="15"/>
    <col collapsed="false" customWidth="true" hidden="false" outlineLevel="0" max="10" min="10" style="1" width="11.85"/>
    <col collapsed="false" customWidth="true" hidden="false" outlineLevel="0" max="11" min="11" style="1" width="34.42"/>
    <col collapsed="false" customWidth="true" hidden="false" outlineLevel="0" max="12" min="12" style="1" width="8.42"/>
    <col collapsed="false" customWidth="true" hidden="false" outlineLevel="0" max="16" min="13" style="1" width="12"/>
  </cols>
  <sheetData>
    <row r="2" customFormat="false" ht="15" hidden="false" customHeight="false" outlineLevel="0" collapsed="false">
      <c r="B2" s="2" t="s">
        <v>205</v>
      </c>
      <c r="C2" s="3" t="s">
        <v>1</v>
      </c>
      <c r="D2" s="4" t="s">
        <v>2</v>
      </c>
      <c r="E2" s="3"/>
      <c r="F2" s="5" t="s">
        <v>3</v>
      </c>
      <c r="H2" s="6"/>
      <c r="I2" s="6"/>
      <c r="J2" s="6"/>
      <c r="K2" s="6"/>
    </row>
    <row r="3" customFormat="false" ht="15" hidden="false" customHeight="false" outlineLevel="0" collapsed="false">
      <c r="B3" s="7" t="s">
        <v>4</v>
      </c>
      <c r="C3" s="8"/>
      <c r="D3" s="9"/>
      <c r="E3" s="10" t="s">
        <v>1</v>
      </c>
      <c r="F3" s="11" t="n">
        <f aca="false">SUM(D3,D5,D6,D7,D4)</f>
        <v>1008.11</v>
      </c>
      <c r="I3" s="2" t="s">
        <v>6</v>
      </c>
      <c r="K3" s="13" t="s">
        <v>7</v>
      </c>
      <c r="L3" s="14"/>
    </row>
    <row r="4" customFormat="false" ht="15" hidden="false" customHeight="false" outlineLevel="0" collapsed="false">
      <c r="B4" s="15" t="s">
        <v>8</v>
      </c>
      <c r="C4" s="16"/>
      <c r="D4" s="17" t="n">
        <f aca="false">SUM(P10:P25)</f>
        <v>0</v>
      </c>
      <c r="E4" s="18" t="s">
        <v>9</v>
      </c>
      <c r="F4" s="19" t="n">
        <f aca="false">SUM(F11:F32)</f>
        <v>0</v>
      </c>
      <c r="I4" s="20" t="n">
        <f aca="true">TODAY()</f>
        <v>46242</v>
      </c>
      <c r="K4" s="13" t="s">
        <v>11</v>
      </c>
      <c r="L4" s="14"/>
    </row>
    <row r="5" customFormat="false" ht="15" hidden="false" customHeight="false" outlineLevel="0" collapsed="false">
      <c r="B5" s="21" t="s">
        <v>12</v>
      </c>
      <c r="C5" s="22"/>
      <c r="D5" s="23"/>
      <c r="E5" s="24" t="s">
        <v>13</v>
      </c>
      <c r="F5" s="25" t="n">
        <f aca="false">D4</f>
        <v>0</v>
      </c>
      <c r="I5" s="26" t="s">
        <v>14</v>
      </c>
      <c r="K5" s="13" t="s">
        <v>15</v>
      </c>
      <c r="L5" s="14" t="n">
        <f aca="false">SUM(P10:P25)</f>
        <v>0</v>
      </c>
    </row>
    <row r="6" customFormat="false" ht="15" hidden="false" customHeight="false" outlineLevel="0" collapsed="false">
      <c r="B6" s="21" t="s">
        <v>16</v>
      </c>
      <c r="C6" s="22"/>
      <c r="D6" s="23"/>
      <c r="E6" s="27" t="s">
        <v>17</v>
      </c>
      <c r="F6" s="28" t="n">
        <f aca="false">SUM(K11:K22)</f>
        <v>0</v>
      </c>
      <c r="I6" s="29" t="n">
        <v>45847</v>
      </c>
      <c r="K6" s="30" t="s">
        <v>18</v>
      </c>
      <c r="L6" s="31"/>
    </row>
    <row r="7" customFormat="false" ht="15" hidden="false" customHeight="false" outlineLevel="0" collapsed="false">
      <c r="B7" s="32" t="s">
        <v>107</v>
      </c>
      <c r="C7" s="33"/>
      <c r="D7" s="34" t="n">
        <f aca="false">Set!F7</f>
        <v>1008.11</v>
      </c>
      <c r="E7" s="35" t="s">
        <v>19</v>
      </c>
      <c r="F7" s="36" t="n">
        <f aca="false">F3-F4-F6</f>
        <v>1008.11</v>
      </c>
    </row>
    <row r="9" customFormat="false" ht="15" hidden="false" customHeight="false" outlineLevel="0" collapsed="false">
      <c r="B9" s="37" t="s">
        <v>20</v>
      </c>
      <c r="C9" s="37"/>
      <c r="D9" s="37"/>
      <c r="E9" s="37"/>
      <c r="F9" s="37"/>
      <c r="H9" s="38" t="s">
        <v>21</v>
      </c>
      <c r="I9" s="38"/>
      <c r="J9" s="38"/>
      <c r="K9" s="38"/>
      <c r="M9" s="39" t="s">
        <v>108</v>
      </c>
      <c r="N9" s="40" t="s">
        <v>23</v>
      </c>
      <c r="O9" s="41" t="s">
        <v>24</v>
      </c>
      <c r="P9" s="42" t="s">
        <v>25</v>
      </c>
    </row>
    <row r="10" customFormat="false" ht="15" hidden="false" customHeight="false" outlineLevel="0" collapsed="false">
      <c r="B10" s="5" t="s">
        <v>6</v>
      </c>
      <c r="C10" s="5" t="s">
        <v>26</v>
      </c>
      <c r="D10" s="5" t="s">
        <v>27</v>
      </c>
      <c r="E10" s="5" t="s">
        <v>28</v>
      </c>
      <c r="F10" s="5" t="s">
        <v>2</v>
      </c>
      <c r="H10" s="5" t="s">
        <v>6</v>
      </c>
      <c r="I10" s="5" t="s">
        <v>29</v>
      </c>
      <c r="J10" s="5" t="s">
        <v>27</v>
      </c>
      <c r="K10" s="5" t="s">
        <v>2</v>
      </c>
      <c r="M10" s="43"/>
      <c r="N10" s="44"/>
      <c r="O10" s="45"/>
      <c r="P10" s="46"/>
    </row>
    <row r="11" customFormat="false" ht="15" hidden="false" customHeight="false" outlineLevel="0" collapsed="false">
      <c r="B11" s="47"/>
      <c r="C11" s="93"/>
      <c r="D11" s="93"/>
      <c r="E11" s="48"/>
      <c r="F11" s="49"/>
      <c r="H11" s="50"/>
      <c r="I11" s="94"/>
      <c r="J11" s="51"/>
      <c r="K11" s="46"/>
      <c r="M11" s="52"/>
      <c r="N11" s="53"/>
      <c r="O11" s="54"/>
      <c r="P11" s="55"/>
    </row>
    <row r="12" customFormat="false" ht="15" hidden="false" customHeight="false" outlineLevel="0" collapsed="false">
      <c r="B12" s="56"/>
      <c r="C12" s="16"/>
      <c r="D12" s="16"/>
      <c r="E12" s="16"/>
      <c r="F12" s="58"/>
      <c r="H12" s="59"/>
      <c r="I12" s="94"/>
      <c r="J12" s="60"/>
      <c r="K12" s="55"/>
      <c r="M12" s="52"/>
      <c r="N12" s="53"/>
      <c r="O12" s="54"/>
      <c r="P12" s="55"/>
    </row>
    <row r="13" customFormat="false" ht="15" hidden="false" customHeight="false" outlineLevel="0" collapsed="false">
      <c r="B13" s="56"/>
      <c r="C13" s="16"/>
      <c r="D13" s="16"/>
      <c r="E13" s="16"/>
      <c r="F13" s="58"/>
      <c r="H13" s="59"/>
      <c r="I13" s="94"/>
      <c r="J13" s="60"/>
      <c r="K13" s="55"/>
      <c r="M13" s="52"/>
      <c r="N13" s="53"/>
      <c r="O13" s="54"/>
      <c r="P13" s="55"/>
    </row>
    <row r="14" customFormat="false" ht="15" hidden="false" customHeight="false" outlineLevel="0" collapsed="false">
      <c r="B14" s="56"/>
      <c r="C14" s="16"/>
      <c r="D14" s="16"/>
      <c r="E14" s="16"/>
      <c r="F14" s="58"/>
      <c r="H14" s="59"/>
      <c r="I14" s="94"/>
      <c r="J14" s="60"/>
      <c r="K14" s="55"/>
      <c r="M14" s="52"/>
      <c r="N14" s="53"/>
      <c r="O14" s="54"/>
      <c r="P14" s="55"/>
    </row>
    <row r="15" customFormat="false" ht="15" hidden="false" customHeight="false" outlineLevel="0" collapsed="false">
      <c r="B15" s="56"/>
      <c r="C15" s="16"/>
      <c r="D15" s="16"/>
      <c r="E15" s="16"/>
      <c r="F15" s="58"/>
      <c r="H15" s="59"/>
      <c r="I15" s="94"/>
      <c r="J15" s="60"/>
      <c r="K15" s="55"/>
      <c r="M15" s="52"/>
      <c r="N15" s="53"/>
      <c r="O15" s="54"/>
      <c r="P15" s="55"/>
    </row>
    <row r="16" customFormat="false" ht="15" hidden="false" customHeight="false" outlineLevel="0" collapsed="false">
      <c r="B16" s="56"/>
      <c r="C16" s="16"/>
      <c r="D16" s="16"/>
      <c r="E16" s="16"/>
      <c r="F16" s="58"/>
      <c r="H16" s="59"/>
      <c r="I16" s="94"/>
      <c r="J16" s="60"/>
      <c r="K16" s="55"/>
      <c r="M16" s="52"/>
      <c r="N16" s="53"/>
      <c r="O16" s="54"/>
      <c r="P16" s="55"/>
    </row>
    <row r="17" customFormat="false" ht="15" hidden="false" customHeight="false" outlineLevel="0" collapsed="false">
      <c r="B17" s="56"/>
      <c r="C17" s="16"/>
      <c r="D17" s="16"/>
      <c r="E17" s="16"/>
      <c r="F17" s="58"/>
      <c r="H17" s="59"/>
      <c r="I17" s="94"/>
      <c r="J17" s="60"/>
      <c r="K17" s="55"/>
      <c r="M17" s="52"/>
      <c r="N17" s="53"/>
      <c r="O17" s="54"/>
      <c r="P17" s="55"/>
    </row>
    <row r="18" customFormat="false" ht="15" hidden="false" customHeight="false" outlineLevel="0" collapsed="false">
      <c r="B18" s="56"/>
      <c r="C18" s="16"/>
      <c r="D18" s="16"/>
      <c r="E18" s="16"/>
      <c r="F18" s="58"/>
      <c r="H18" s="59"/>
      <c r="I18" s="94"/>
      <c r="J18" s="60"/>
      <c r="K18" s="55"/>
      <c r="M18" s="52"/>
      <c r="N18" s="53"/>
      <c r="O18" s="54"/>
      <c r="P18" s="55"/>
    </row>
    <row r="19" customFormat="false" ht="15" hidden="false" customHeight="false" outlineLevel="0" collapsed="false">
      <c r="B19" s="56"/>
      <c r="C19" s="16"/>
      <c r="D19" s="16"/>
      <c r="E19" s="16"/>
      <c r="F19" s="58"/>
      <c r="H19" s="59"/>
      <c r="I19" s="94"/>
      <c r="J19" s="60"/>
      <c r="K19" s="55"/>
      <c r="M19" s="52"/>
      <c r="N19" s="53"/>
      <c r="O19" s="54"/>
      <c r="P19" s="55"/>
    </row>
    <row r="20" customFormat="false" ht="15" hidden="false" customHeight="false" outlineLevel="0" collapsed="false">
      <c r="B20" s="56"/>
      <c r="C20" s="16"/>
      <c r="D20" s="16"/>
      <c r="E20" s="16"/>
      <c r="F20" s="58"/>
      <c r="H20" s="59"/>
      <c r="I20" s="94"/>
      <c r="J20" s="60"/>
      <c r="K20" s="55"/>
      <c r="M20" s="52"/>
      <c r="N20" s="53"/>
      <c r="O20" s="54"/>
      <c r="P20" s="55"/>
    </row>
    <row r="21" customFormat="false" ht="15" hidden="false" customHeight="false" outlineLevel="0" collapsed="false">
      <c r="B21" s="56"/>
      <c r="C21" s="16"/>
      <c r="D21" s="16"/>
      <c r="E21" s="16"/>
      <c r="F21" s="58"/>
      <c r="H21" s="59"/>
      <c r="I21" s="94"/>
      <c r="J21" s="60"/>
      <c r="K21" s="55"/>
      <c r="M21" s="52"/>
      <c r="N21" s="53"/>
      <c r="O21" s="54"/>
      <c r="P21" s="55"/>
    </row>
    <row r="22" customFormat="false" ht="15" hidden="false" customHeight="false" outlineLevel="0" collapsed="false">
      <c r="B22" s="56"/>
      <c r="C22" s="16"/>
      <c r="D22" s="16"/>
      <c r="E22" s="16"/>
      <c r="F22" s="58"/>
      <c r="H22" s="61"/>
      <c r="I22" s="62"/>
      <c r="J22" s="62"/>
      <c r="K22" s="63"/>
      <c r="M22" s="52"/>
      <c r="N22" s="53"/>
      <c r="O22" s="54"/>
      <c r="P22" s="55"/>
    </row>
    <row r="23" customFormat="false" ht="15" hidden="false" customHeight="false" outlineLevel="0" collapsed="false">
      <c r="B23" s="56"/>
      <c r="C23" s="16"/>
      <c r="D23" s="16"/>
      <c r="E23" s="16"/>
      <c r="F23" s="58"/>
      <c r="K23" s="12" t="n">
        <f aca="false">SUM(K11:K22)</f>
        <v>0</v>
      </c>
      <c r="M23" s="52"/>
      <c r="N23" s="53"/>
      <c r="O23" s="54"/>
      <c r="P23" s="55"/>
    </row>
    <row r="24" customFormat="false" ht="15" hidden="false" customHeight="false" outlineLevel="0" collapsed="false">
      <c r="B24" s="56"/>
      <c r="C24" s="16"/>
      <c r="D24" s="16"/>
      <c r="E24" s="16"/>
      <c r="F24" s="58"/>
      <c r="M24" s="52"/>
      <c r="N24" s="53"/>
      <c r="O24" s="54"/>
      <c r="P24" s="55"/>
    </row>
    <row r="25" customFormat="false" ht="15" hidden="false" customHeight="false" outlineLevel="0" collapsed="false">
      <c r="B25" s="56"/>
      <c r="C25" s="16"/>
      <c r="D25" s="16"/>
      <c r="E25" s="16"/>
      <c r="F25" s="58"/>
      <c r="M25" s="64"/>
      <c r="N25" s="65"/>
      <c r="O25" s="66"/>
      <c r="P25" s="63"/>
    </row>
    <row r="26" customFormat="false" ht="15" hidden="false" customHeight="false" outlineLevel="0" collapsed="false">
      <c r="B26" s="56"/>
      <c r="C26" s="16"/>
      <c r="D26" s="16"/>
      <c r="E26" s="16"/>
      <c r="F26" s="58"/>
    </row>
    <row r="27" customFormat="false" ht="15" hidden="false" customHeight="false" outlineLevel="0" collapsed="false">
      <c r="B27" s="56"/>
      <c r="C27" s="16"/>
      <c r="D27" s="16"/>
      <c r="E27" s="16"/>
      <c r="F27" s="58"/>
    </row>
    <row r="28" customFormat="false" ht="15" hidden="false" customHeight="false" outlineLevel="0" collapsed="false">
      <c r="B28" s="56"/>
      <c r="C28" s="16"/>
      <c r="D28" s="16"/>
      <c r="E28" s="16"/>
      <c r="F28" s="58"/>
    </row>
    <row r="29" customFormat="false" ht="15" hidden="false" customHeight="false" outlineLevel="0" collapsed="false">
      <c r="B29" s="56"/>
      <c r="C29" s="16"/>
      <c r="D29" s="16"/>
      <c r="E29" s="16"/>
      <c r="F29" s="58"/>
    </row>
    <row r="30" customFormat="false" ht="15" hidden="false" customHeight="false" outlineLevel="0" collapsed="false">
      <c r="B30" s="56"/>
      <c r="C30" s="16"/>
      <c r="D30" s="16"/>
      <c r="E30" s="16"/>
      <c r="F30" s="58"/>
    </row>
    <row r="31" customFormat="false" ht="15" hidden="false" customHeight="false" outlineLevel="0" collapsed="false">
      <c r="B31" s="56"/>
      <c r="C31" s="16"/>
      <c r="D31" s="16"/>
      <c r="E31" s="16"/>
      <c r="F31" s="58"/>
    </row>
    <row r="32" customFormat="false" ht="15" hidden="false" customHeight="false" outlineLevel="0" collapsed="false">
      <c r="B32" s="67"/>
      <c r="C32" s="33"/>
      <c r="D32" s="33"/>
      <c r="E32" s="33"/>
      <c r="F32" s="68"/>
    </row>
    <row r="35" customFormat="false" ht="15" hidden="false" customHeight="false" outlineLevel="0" collapsed="false">
      <c r="B35" s="69" t="s">
        <v>64</v>
      </c>
      <c r="C35" s="70" t="s">
        <v>65</v>
      </c>
      <c r="D35" s="71" t="n">
        <f aca="false">SUMIF($D$11:$D$32,C35,$F$11:$F$32)</f>
        <v>0</v>
      </c>
      <c r="H35" s="72" t="s">
        <v>66</v>
      </c>
      <c r="I35" s="71" t="n">
        <f aca="false">SUMIF($I$11:$I$22,H35,$K$11:$K$22)</f>
        <v>0</v>
      </c>
    </row>
    <row r="36" customFormat="false" ht="15" hidden="false" customHeight="false" outlineLevel="0" collapsed="false">
      <c r="B36" s="73" t="n">
        <f aca="false">SUM(D35:D39)</f>
        <v>0</v>
      </c>
      <c r="C36" s="74" t="s">
        <v>67</v>
      </c>
      <c r="D36" s="75" t="n">
        <f aca="false">SUMIF($D$11:$D$32,C36,$F$11:$F$32)</f>
        <v>0</v>
      </c>
      <c r="H36" s="76" t="s">
        <v>35</v>
      </c>
      <c r="I36" s="75" t="n">
        <f aca="false">SUMIF($I$11:$I$22,H36,$K$11:$K$22)</f>
        <v>0</v>
      </c>
    </row>
    <row r="37" customFormat="false" ht="15" hidden="false" customHeight="false" outlineLevel="0" collapsed="false">
      <c r="C37" s="74" t="s">
        <v>68</v>
      </c>
      <c r="D37" s="75" t="n">
        <f aca="false">SUMIF($D$11:$D$32,C37,$F$11:$F$32)</f>
        <v>0</v>
      </c>
      <c r="H37" s="76" t="s">
        <v>69</v>
      </c>
      <c r="I37" s="75" t="n">
        <f aca="false">SUMIF($I$11:$I$22,H37,$K$11:$K$22)</f>
        <v>0</v>
      </c>
    </row>
    <row r="38" customFormat="false" ht="15" hidden="false" customHeight="false" outlineLevel="0" collapsed="false">
      <c r="C38" s="74" t="s">
        <v>70</v>
      </c>
      <c r="D38" s="75" t="n">
        <f aca="false">SUMIF($D$11:$D$32,C38,$F$11:$F$32)</f>
        <v>0</v>
      </c>
      <c r="H38" s="76" t="s">
        <v>71</v>
      </c>
      <c r="I38" s="75" t="n">
        <f aca="false">SUMIF($I$11:$I$22,H38,$K$11:$K$22)</f>
        <v>0</v>
      </c>
    </row>
    <row r="39" customFormat="false" ht="15" hidden="false" customHeight="false" outlineLevel="0" collapsed="false">
      <c r="C39" s="77"/>
      <c r="D39" s="78" t="n">
        <f aca="false">SUMIF($D$11:$D$32,C39,$F$11:$F$32)</f>
        <v>0</v>
      </c>
      <c r="H39" s="76" t="s">
        <v>49</v>
      </c>
      <c r="I39" s="75" t="n">
        <f aca="false">SUMIF($I$11:$I$22,H39,$K$11:$K$22)</f>
        <v>0</v>
      </c>
    </row>
    <row r="40" customFormat="false" ht="15" hidden="false" customHeight="false" outlineLevel="0" collapsed="false">
      <c r="C40" s="79"/>
      <c r="D40" s="80"/>
      <c r="H40" s="76" t="s">
        <v>72</v>
      </c>
      <c r="I40" s="75" t="n">
        <f aca="false">SUMIF($I$11:$I$22,H40,$K$11:$K$22)</f>
        <v>0</v>
      </c>
    </row>
    <row r="41" customFormat="false" ht="15" hidden="false" customHeight="false" outlineLevel="0" collapsed="false">
      <c r="B41" s="69" t="s">
        <v>50</v>
      </c>
      <c r="C41" s="70" t="s">
        <v>73</v>
      </c>
      <c r="D41" s="71" t="n">
        <f aca="false">SUMIF($D$11:$D$32,C41,$F$11:$F$32)</f>
        <v>0</v>
      </c>
      <c r="H41" s="76" t="s">
        <v>74</v>
      </c>
      <c r="I41" s="75" t="n">
        <f aca="false">SUMIF($I$11:$I$22,H41,$K$11:$K$22)</f>
        <v>0</v>
      </c>
    </row>
    <row r="42" customFormat="false" ht="15" hidden="false" customHeight="false" outlineLevel="0" collapsed="false">
      <c r="B42" s="73" t="n">
        <f aca="false">SUBTOTAL(9,D41:D48)</f>
        <v>0</v>
      </c>
      <c r="C42" s="74" t="s">
        <v>75</v>
      </c>
      <c r="D42" s="75" t="n">
        <f aca="false">SUMIF($D$11:$D$32,C42,$F$11:$F$32)</f>
        <v>0</v>
      </c>
      <c r="H42" s="76" t="s">
        <v>42</v>
      </c>
      <c r="I42" s="75" t="n">
        <f aca="false">SUMIF($I$11:$I$22,H42,$K$11:$K$22)</f>
        <v>0</v>
      </c>
    </row>
    <row r="43" customFormat="false" ht="15" hidden="false" customHeight="false" outlineLevel="0" collapsed="false">
      <c r="C43" s="74" t="s">
        <v>76</v>
      </c>
      <c r="D43" s="75" t="n">
        <f aca="false">SUMIF($D$11:$D$32,C43,$F$11:$F$32)</f>
        <v>0</v>
      </c>
      <c r="H43" s="76" t="s">
        <v>77</v>
      </c>
      <c r="I43" s="75" t="n">
        <f aca="false">SUMIF($I$11:$I$22,H43,$K$11:$K$22)</f>
        <v>0</v>
      </c>
    </row>
    <row r="44" customFormat="false" ht="15" hidden="false" customHeight="false" outlineLevel="0" collapsed="false">
      <c r="C44" s="74" t="s">
        <v>78</v>
      </c>
      <c r="D44" s="75" t="n">
        <f aca="false">SUMIF($D$11:$D$32,C44,$F$11:$F$32)</f>
        <v>0</v>
      </c>
      <c r="H44" s="76" t="s">
        <v>79</v>
      </c>
      <c r="I44" s="75" t="n">
        <f aca="false">SUMIF($I$11:$I$22,H44,$K$11:$K$22)</f>
        <v>0</v>
      </c>
    </row>
    <row r="45" customFormat="false" ht="15" hidden="false" customHeight="false" outlineLevel="0" collapsed="false">
      <c r="C45" s="74" t="s">
        <v>80</v>
      </c>
      <c r="D45" s="75" t="n">
        <f aca="false">SUMIF($D$11:$D$32,C45,$F$11:$F$32)</f>
        <v>0</v>
      </c>
      <c r="H45" s="81"/>
      <c r="I45" s="78" t="n">
        <f aca="false">SUMIF($I$11:$I$22,H45,$K$11:$K$22)</f>
        <v>0</v>
      </c>
    </row>
    <row r="46" customFormat="false" ht="15" hidden="false" customHeight="false" outlineLevel="0" collapsed="false">
      <c r="C46" s="74" t="s">
        <v>51</v>
      </c>
      <c r="D46" s="75" t="n">
        <f aca="false">SUMIF($D$11:$D$32,C46,$F$11:$F$32)</f>
        <v>0</v>
      </c>
    </row>
    <row r="47" customFormat="false" ht="15" hidden="false" customHeight="false" outlineLevel="0" collapsed="false">
      <c r="C47" s="82"/>
      <c r="D47" s="83" t="n">
        <f aca="false">SUMIF($D$11:$D$32,C47,$F$11:$F$32)</f>
        <v>0</v>
      </c>
    </row>
    <row r="48" customFormat="false" ht="15" hidden="false" customHeight="false" outlineLevel="0" collapsed="false">
      <c r="C48" s="77"/>
      <c r="D48" s="78" t="n">
        <f aca="false">SUMIF($D$11:$D$32,C48,$F$11:$F$32)</f>
        <v>0</v>
      </c>
    </row>
    <row r="49" customFormat="false" ht="15" hidden="false" customHeight="false" outlineLevel="0" collapsed="false">
      <c r="D49" s="80"/>
    </row>
    <row r="50" customFormat="false" ht="15" hidden="false" customHeight="false" outlineLevel="0" collapsed="false">
      <c r="B50" s="69" t="s">
        <v>32</v>
      </c>
      <c r="C50" s="70" t="s">
        <v>81</v>
      </c>
      <c r="D50" s="71" t="n">
        <f aca="false">SUMIF($D$11:$D$32,C50,$F$11:$F$32)</f>
        <v>0</v>
      </c>
    </row>
    <row r="51" customFormat="false" ht="15" hidden="false" customHeight="false" outlineLevel="0" collapsed="false">
      <c r="B51" s="73" t="n">
        <f aca="false">SUM(D50:D56)</f>
        <v>0</v>
      </c>
      <c r="C51" s="74" t="s">
        <v>57</v>
      </c>
      <c r="D51" s="75" t="n">
        <f aca="false">SUMIF($D$11:$D$32,C51,$F$11:$F$32)</f>
        <v>0</v>
      </c>
    </row>
    <row r="52" customFormat="false" ht="15" hidden="false" customHeight="false" outlineLevel="0" collapsed="false">
      <c r="C52" s="74" t="s">
        <v>82</v>
      </c>
      <c r="D52" s="75" t="n">
        <f aca="false">SUMIF($D$11:$D$32,C52,$F$11:$F$32)</f>
        <v>0</v>
      </c>
    </row>
    <row r="53" customFormat="false" ht="15" hidden="false" customHeight="false" outlineLevel="0" collapsed="false">
      <c r="C53" s="74" t="s">
        <v>33</v>
      </c>
      <c r="D53" s="75" t="n">
        <f aca="false">SUMIF($D$11:$D$32,C53,$F$11:$F$32)</f>
        <v>0</v>
      </c>
    </row>
    <row r="54" customFormat="false" ht="15" hidden="false" customHeight="false" outlineLevel="0" collapsed="false">
      <c r="C54" s="74" t="s">
        <v>83</v>
      </c>
      <c r="D54" s="75" t="n">
        <f aca="false">SUMIF($D$11:$D$32,C54,$F$11:$F$32)</f>
        <v>0</v>
      </c>
    </row>
    <row r="55" customFormat="false" ht="15" hidden="false" customHeight="false" outlineLevel="0" collapsed="false">
      <c r="C55" s="74" t="s">
        <v>59</v>
      </c>
      <c r="D55" s="75" t="n">
        <f aca="false">SUMIF($D$11:$D$32,C55,$F$11:$F$32)</f>
        <v>0</v>
      </c>
    </row>
    <row r="56" customFormat="false" ht="15" hidden="false" customHeight="false" outlineLevel="0" collapsed="false">
      <c r="C56" s="64"/>
      <c r="D56" s="78" t="n">
        <f aca="false">SUMIF($D$11:$D$32,C56,$F$11:$F$32)</f>
        <v>0</v>
      </c>
    </row>
    <row r="57" customFormat="false" ht="15" hidden="false" customHeight="false" outlineLevel="0" collapsed="false">
      <c r="D57" s="80"/>
    </row>
    <row r="58" customFormat="false" ht="15" hidden="false" customHeight="false" outlineLevel="0" collapsed="false">
      <c r="B58" s="69" t="s">
        <v>39</v>
      </c>
      <c r="C58" s="70" t="s">
        <v>84</v>
      </c>
      <c r="D58" s="71" t="n">
        <f aca="false">SUMIF($D$11:$D$32,C58,$F$11:$F$32)</f>
        <v>0</v>
      </c>
    </row>
    <row r="59" customFormat="false" ht="15" hidden="false" customHeight="false" outlineLevel="0" collapsed="false">
      <c r="B59" s="73" t="n">
        <f aca="false">SUM(D58:D64)</f>
        <v>0</v>
      </c>
      <c r="C59" s="74" t="s">
        <v>40</v>
      </c>
      <c r="D59" s="75" t="n">
        <f aca="false">SUMIF($D$11:$D$32,C59,$F$11:$F$32)</f>
        <v>0</v>
      </c>
    </row>
    <row r="60" customFormat="false" ht="15" hidden="false" customHeight="false" outlineLevel="0" collapsed="false">
      <c r="C60" s="74" t="s">
        <v>85</v>
      </c>
      <c r="D60" s="75" t="n">
        <f aca="false">SUMIF($D$11:$D$32,C60,$F$11:$F$32)</f>
        <v>0</v>
      </c>
    </row>
    <row r="61" customFormat="false" ht="15" hidden="false" customHeight="false" outlineLevel="0" collapsed="false">
      <c r="C61" s="74" t="s">
        <v>86</v>
      </c>
      <c r="D61" s="75" t="n">
        <f aca="false">SUMIF($D$11:$D$32,C61,$F$11:$F$32)</f>
        <v>0</v>
      </c>
    </row>
    <row r="62" customFormat="false" ht="15" hidden="false" customHeight="false" outlineLevel="0" collapsed="false">
      <c r="C62" s="74" t="s">
        <v>47</v>
      </c>
      <c r="D62" s="75" t="n">
        <f aca="false">SUMIF($D$11:$D$32,C62,$F$11:$F$32)</f>
        <v>0</v>
      </c>
    </row>
    <row r="63" customFormat="false" ht="15" hidden="false" customHeight="false" outlineLevel="0" collapsed="false">
      <c r="C63" s="74" t="s">
        <v>87</v>
      </c>
      <c r="D63" s="75" t="n">
        <f aca="false">SUMIF($D$11:$D$32,C63,$F$11:$F$32)</f>
        <v>0</v>
      </c>
    </row>
    <row r="64" customFormat="false" ht="15" hidden="false" customHeight="false" outlineLevel="0" collapsed="false">
      <c r="C64" s="64"/>
      <c r="D64" s="78" t="n">
        <f aca="false">SUMIF($D$11:$D$32,C64,$F$11:$F$32)</f>
        <v>0</v>
      </c>
    </row>
    <row r="65" customFormat="false" ht="15" hidden="false" customHeight="false" outlineLevel="0" collapsed="false">
      <c r="D65" s="80"/>
    </row>
    <row r="66" customFormat="false" ht="15" hidden="false" customHeight="false" outlineLevel="0" collapsed="false">
      <c r="B66" s="69" t="s">
        <v>88</v>
      </c>
      <c r="C66" s="70" t="s">
        <v>89</v>
      </c>
      <c r="D66" s="71" t="n">
        <f aca="false">SUMIF($D$11:$D$32,C66,$F$11:$F$32)</f>
        <v>0</v>
      </c>
    </row>
    <row r="67" customFormat="false" ht="15" hidden="false" customHeight="false" outlineLevel="0" collapsed="false">
      <c r="B67" s="73" t="n">
        <f aca="false">SUM(D66:D72)</f>
        <v>0</v>
      </c>
      <c r="C67" s="74" t="s">
        <v>90</v>
      </c>
      <c r="D67" s="75" t="n">
        <f aca="false">SUMIF($D$11:$D$32,C67,$F$11:$F$32)</f>
        <v>0</v>
      </c>
    </row>
    <row r="68" customFormat="false" ht="15" hidden="false" customHeight="false" outlineLevel="0" collapsed="false">
      <c r="C68" s="74" t="s">
        <v>91</v>
      </c>
      <c r="D68" s="75" t="n">
        <f aca="false">SUMIF($D$11:$D$32,C68,$F$11:$F$32)</f>
        <v>0</v>
      </c>
    </row>
    <row r="69" customFormat="false" ht="15" hidden="false" customHeight="false" outlineLevel="0" collapsed="false">
      <c r="C69" s="74" t="s">
        <v>92</v>
      </c>
      <c r="D69" s="75" t="n">
        <f aca="false">SUMIF($D$11:$D$32,C69,$F$11:$F$32)</f>
        <v>0</v>
      </c>
    </row>
    <row r="70" customFormat="false" ht="15" hidden="false" customHeight="false" outlineLevel="0" collapsed="false">
      <c r="C70" s="74" t="s">
        <v>93</v>
      </c>
      <c r="D70" s="75" t="n">
        <f aca="false">SUMIF($D$11:$D$32,C70,$F$11:$F$32)</f>
        <v>0</v>
      </c>
    </row>
    <row r="71" customFormat="false" ht="15" hidden="false" customHeight="false" outlineLevel="0" collapsed="false">
      <c r="C71" s="74" t="s">
        <v>94</v>
      </c>
      <c r="D71" s="75" t="n">
        <f aca="false">SUMIF($D$11:$D$32,C71,$F$11:$F$32)</f>
        <v>0</v>
      </c>
    </row>
    <row r="72" customFormat="false" ht="15" hidden="false" customHeight="false" outlineLevel="0" collapsed="false">
      <c r="C72" s="64"/>
      <c r="D72" s="78" t="n">
        <f aca="false">SUMIF($D$11:$D$32,C72,$F$11:$F$32)</f>
        <v>0</v>
      </c>
    </row>
    <row r="73" customFormat="false" ht="15" hidden="false" customHeight="false" outlineLevel="0" collapsed="false">
      <c r="D73" s="80"/>
    </row>
    <row r="74" customFormat="false" ht="15" hidden="false" customHeight="false" outlineLevel="0" collapsed="false">
      <c r="B74" s="69" t="s">
        <v>77</v>
      </c>
      <c r="C74" s="70" t="s">
        <v>95</v>
      </c>
      <c r="D74" s="71" t="n">
        <f aca="false">SUMIF($D$11:$D$32,C74,$F$11:$F$32)</f>
        <v>0</v>
      </c>
    </row>
    <row r="75" customFormat="false" ht="15" hidden="false" customHeight="false" outlineLevel="0" collapsed="false">
      <c r="B75" s="73" t="n">
        <f aca="false">SUM(D74:D80)</f>
        <v>0</v>
      </c>
      <c r="C75" s="74" t="s">
        <v>96</v>
      </c>
      <c r="D75" s="75" t="n">
        <f aca="false">SUMIF($D$11:$D$32,C75,$F$11:$F$32)</f>
        <v>0</v>
      </c>
    </row>
    <row r="76" customFormat="false" ht="15" hidden="false" customHeight="false" outlineLevel="0" collapsed="false">
      <c r="C76" s="74" t="s">
        <v>97</v>
      </c>
      <c r="D76" s="75" t="n">
        <f aca="false">SUMIF($D$11:$D$32,C76,$F$11:$F$32)</f>
        <v>0</v>
      </c>
    </row>
    <row r="77" customFormat="false" ht="15" hidden="false" customHeight="false" outlineLevel="0" collapsed="false">
      <c r="C77" s="74" t="s">
        <v>98</v>
      </c>
      <c r="D77" s="75" t="n">
        <f aca="false">SUMIF($D$11:$D$32,C77,$F$11:$F$32)</f>
        <v>0</v>
      </c>
    </row>
    <row r="78" customFormat="false" ht="15" hidden="false" customHeight="false" outlineLevel="0" collapsed="false">
      <c r="C78" s="74"/>
      <c r="D78" s="75" t="n">
        <f aca="false">SUMIF($D$11:$D$32,C78,$F$11:$F$32)</f>
        <v>0</v>
      </c>
    </row>
    <row r="79" customFormat="false" ht="15" hidden="false" customHeight="false" outlineLevel="0" collapsed="false">
      <c r="C79" s="74"/>
      <c r="D79" s="75" t="n">
        <f aca="false">SUMIF($D$11:$D$32,C79,$F$11:$F$32)</f>
        <v>0</v>
      </c>
    </row>
    <row r="80" customFormat="false" ht="15" hidden="false" customHeight="false" outlineLevel="0" collapsed="false">
      <c r="C80" s="64"/>
      <c r="D80" s="78" t="n">
        <f aca="false">SUMIF($D$11:$D$32,C80,$F$11:$F$32)</f>
        <v>0</v>
      </c>
    </row>
    <row r="81" customFormat="false" ht="15" hidden="false" customHeight="false" outlineLevel="0" collapsed="false">
      <c r="D81" s="80"/>
    </row>
    <row r="82" customFormat="false" ht="15" hidden="false" customHeight="false" outlineLevel="0" collapsed="false">
      <c r="B82" s="69" t="s">
        <v>99</v>
      </c>
      <c r="C82" s="70" t="s">
        <v>100</v>
      </c>
      <c r="D82" s="71" t="n">
        <f aca="false">SUMIF($D$11:$D$32,C82,$F$11:$F$32)</f>
        <v>0</v>
      </c>
    </row>
    <row r="83" customFormat="false" ht="15" hidden="false" customHeight="false" outlineLevel="0" collapsed="false">
      <c r="B83" s="73" t="n">
        <f aca="false">SUM(D82:D88)</f>
        <v>0</v>
      </c>
      <c r="C83" s="74" t="s">
        <v>101</v>
      </c>
      <c r="D83" s="75" t="n">
        <f aca="false">SUMIF($D$11:$D$32,C83,$F$11:$F$32)</f>
        <v>0</v>
      </c>
    </row>
    <row r="84" customFormat="false" ht="15" hidden="false" customHeight="false" outlineLevel="0" collapsed="false">
      <c r="C84" s="74" t="s">
        <v>102</v>
      </c>
      <c r="D84" s="75" t="n">
        <f aca="false">SUMIF($D$11:$D$32,C84,$F$11:$F$32)</f>
        <v>0</v>
      </c>
    </row>
    <row r="85" customFormat="false" ht="15" hidden="false" customHeight="false" outlineLevel="0" collapsed="false">
      <c r="C85" s="74" t="s">
        <v>103</v>
      </c>
      <c r="D85" s="75" t="n">
        <f aca="false">SUMIF($D$11:$D$32,C85,$F$11:$F$32)</f>
        <v>0</v>
      </c>
    </row>
    <row r="86" customFormat="false" ht="15" hidden="false" customHeight="false" outlineLevel="0" collapsed="false">
      <c r="C86" s="74" t="s">
        <v>104</v>
      </c>
      <c r="D86" s="75" t="n">
        <f aca="false">SUMIF($D$11:$D$32,C86,$F$11:$F$32)</f>
        <v>0</v>
      </c>
    </row>
    <row r="87" customFormat="false" ht="15" hidden="false" customHeight="false" outlineLevel="0" collapsed="false">
      <c r="C87" s="74" t="s">
        <v>105</v>
      </c>
      <c r="D87" s="75" t="n">
        <f aca="false">SUMIF($D$11:$D$32,C87,$F$11:$F$32)</f>
        <v>0</v>
      </c>
    </row>
    <row r="88" customFormat="false" ht="15" hidden="false" customHeight="false" outlineLevel="0" collapsed="false">
      <c r="C88" s="64"/>
      <c r="D88" s="78" t="n">
        <f aca="false">SUMIF($D$11:$D$32,C88,$F$11:$F$32)</f>
        <v>0</v>
      </c>
    </row>
    <row r="90" customFormat="false" ht="15" hidden="false" customHeight="false" outlineLevel="0" collapsed="false">
      <c r="B90" s="69" t="s">
        <v>79</v>
      </c>
      <c r="C90" s="70"/>
      <c r="D90" s="71" t="n">
        <f aca="false">SUMIF(C11:C32,B90,F11:F32)</f>
        <v>0</v>
      </c>
    </row>
  </sheetData>
  <mergeCells count="3">
    <mergeCell ref="H2:K2"/>
    <mergeCell ref="B9:F9"/>
    <mergeCell ref="H9:K9"/>
  </mergeCells>
  <dataValidations count="3">
    <dataValidation allowBlank="true" errorStyle="stop" operator="between" showDropDown="false" showErrorMessage="true" showInputMessage="true" sqref="D11:D32" type="list">
      <formula1>INDIRECT(C11)</formula1>
      <formula2>0</formula2>
    </dataValidation>
    <dataValidation allowBlank="true" errorStyle="stop" operator="between" showDropDown="false" showErrorMessage="true" showInputMessage="true" sqref="I11:I21" type="list">
      <formula1>Modelo!$R$3:$R$14</formula1>
      <formula2>0</formula2>
    </dataValidation>
    <dataValidation allowBlank="true" errorStyle="stop" operator="between" showDropDown="false" showErrorMessage="true" showInputMessage="true" sqref="C11:C32" type="list">
      <formula1>Modelo!$P$3:$P$11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DD7EE"/>
    <pageSetUpPr fitToPage="false"/>
  </sheetPr>
  <dimension ref="B2:P90"/>
  <sheetViews>
    <sheetView showFormulas="false" showGridLines="false" showRowColHeaders="true" showZeros="true" rightToLeft="false" tabSelected="false" showOutlineSymbols="true" defaultGridColor="true" view="normal" topLeftCell="A8" colorId="64" zoomScale="110" zoomScaleNormal="110" zoomScalePageLayoutView="100" workbookViewId="0">
      <selection pane="topLeft" activeCell="D91" activeCellId="0" sqref="D9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.15"/>
    <col collapsed="false" customWidth="true" hidden="false" outlineLevel="0" max="3" min="3" style="1" width="41.57"/>
    <col collapsed="false" customWidth="true" hidden="false" outlineLevel="0" max="4" min="4" style="1" width="13"/>
    <col collapsed="false" customWidth="true" hidden="false" outlineLevel="0" max="5" min="5" style="1" width="22"/>
    <col collapsed="false" customWidth="true" hidden="false" outlineLevel="0" max="6" min="6" style="1" width="14.86"/>
    <col collapsed="false" customWidth="true" hidden="false" outlineLevel="0" max="7" min="7" style="1" width="2.57"/>
    <col collapsed="false" customWidth="true" hidden="false" outlineLevel="0" max="8" min="8" style="1" width="17.86"/>
    <col collapsed="false" customWidth="true" hidden="false" outlineLevel="0" max="9" min="9" style="1" width="13.71"/>
    <col collapsed="false" customWidth="true" hidden="false" outlineLevel="0" max="10" min="10" style="1" width="11.85"/>
    <col collapsed="false" customWidth="true" hidden="false" outlineLevel="0" max="11" min="11" style="1" width="34.42"/>
    <col collapsed="false" customWidth="true" hidden="false" outlineLevel="0" max="12" min="12" style="1" width="8.42"/>
    <col collapsed="false" customWidth="true" hidden="false" outlineLevel="0" max="16" min="13" style="1" width="12"/>
  </cols>
  <sheetData>
    <row r="2" customFormat="false" ht="15" hidden="false" customHeight="false" outlineLevel="0" collapsed="false">
      <c r="B2" s="2" t="s">
        <v>206</v>
      </c>
      <c r="C2" s="3" t="s">
        <v>1</v>
      </c>
      <c r="D2" s="4" t="s">
        <v>2</v>
      </c>
      <c r="E2" s="3"/>
      <c r="F2" s="5" t="s">
        <v>3</v>
      </c>
      <c r="H2" s="6"/>
      <c r="I2" s="6"/>
      <c r="J2" s="6"/>
      <c r="K2" s="6"/>
    </row>
    <row r="3" customFormat="false" ht="15" hidden="false" customHeight="false" outlineLevel="0" collapsed="false">
      <c r="B3" s="7" t="s">
        <v>4</v>
      </c>
      <c r="C3" s="8"/>
      <c r="D3" s="9"/>
      <c r="E3" s="10" t="s">
        <v>1</v>
      </c>
      <c r="F3" s="11" t="n">
        <f aca="false">SUM(D3,D5,D6,D7,D4)</f>
        <v>1008.11</v>
      </c>
      <c r="I3" s="2" t="s">
        <v>6</v>
      </c>
      <c r="K3" s="13" t="s">
        <v>7</v>
      </c>
      <c r="L3" s="14"/>
    </row>
    <row r="4" customFormat="false" ht="15" hidden="false" customHeight="false" outlineLevel="0" collapsed="false">
      <c r="B4" s="15" t="s">
        <v>8</v>
      </c>
      <c r="C4" s="16"/>
      <c r="D4" s="17" t="n">
        <f aca="false">SUM(P10:P25)</f>
        <v>0</v>
      </c>
      <c r="E4" s="18" t="s">
        <v>9</v>
      </c>
      <c r="F4" s="19" t="n">
        <f aca="false">SUM(F11:F32)</f>
        <v>0</v>
      </c>
      <c r="I4" s="20" t="n">
        <f aca="true">TODAY()</f>
        <v>46242</v>
      </c>
      <c r="K4" s="13" t="s">
        <v>11</v>
      </c>
      <c r="L4" s="14"/>
    </row>
    <row r="5" customFormat="false" ht="15" hidden="false" customHeight="false" outlineLevel="0" collapsed="false">
      <c r="B5" s="21" t="s">
        <v>12</v>
      </c>
      <c r="C5" s="22"/>
      <c r="D5" s="23"/>
      <c r="E5" s="24" t="s">
        <v>13</v>
      </c>
      <c r="F5" s="25" t="n">
        <f aca="false">D4</f>
        <v>0</v>
      </c>
      <c r="I5" s="26" t="s">
        <v>14</v>
      </c>
      <c r="K5" s="13" t="s">
        <v>15</v>
      </c>
      <c r="L5" s="14" t="n">
        <f aca="false">SUM(P10:P25)</f>
        <v>0</v>
      </c>
    </row>
    <row r="6" customFormat="false" ht="15" hidden="false" customHeight="false" outlineLevel="0" collapsed="false">
      <c r="B6" s="21" t="s">
        <v>16</v>
      </c>
      <c r="C6" s="22"/>
      <c r="D6" s="23"/>
      <c r="E6" s="27" t="s">
        <v>17</v>
      </c>
      <c r="F6" s="28" t="n">
        <f aca="false">SUM(K11:K22)</f>
        <v>0</v>
      </c>
      <c r="I6" s="29" t="n">
        <v>45847</v>
      </c>
      <c r="K6" s="30" t="s">
        <v>18</v>
      </c>
      <c r="L6" s="31"/>
    </row>
    <row r="7" customFormat="false" ht="15" hidden="false" customHeight="false" outlineLevel="0" collapsed="false">
      <c r="B7" s="32" t="s">
        <v>107</v>
      </c>
      <c r="C7" s="33"/>
      <c r="D7" s="34" t="n">
        <f aca="false">Out!F7</f>
        <v>1008.11</v>
      </c>
      <c r="E7" s="35" t="s">
        <v>19</v>
      </c>
      <c r="F7" s="36" t="n">
        <f aca="false">F3-F4-F6</f>
        <v>1008.11</v>
      </c>
    </row>
    <row r="9" customFormat="false" ht="15" hidden="false" customHeight="false" outlineLevel="0" collapsed="false">
      <c r="B9" s="37" t="s">
        <v>20</v>
      </c>
      <c r="C9" s="37"/>
      <c r="D9" s="37"/>
      <c r="E9" s="37"/>
      <c r="F9" s="37"/>
      <c r="H9" s="38" t="s">
        <v>21</v>
      </c>
      <c r="I9" s="38"/>
      <c r="J9" s="38"/>
      <c r="K9" s="38"/>
      <c r="M9" s="39" t="s">
        <v>108</v>
      </c>
      <c r="N9" s="40" t="s">
        <v>23</v>
      </c>
      <c r="O9" s="41" t="s">
        <v>24</v>
      </c>
      <c r="P9" s="42" t="s">
        <v>25</v>
      </c>
    </row>
    <row r="10" customFormat="false" ht="15" hidden="false" customHeight="false" outlineLevel="0" collapsed="false">
      <c r="B10" s="5" t="s">
        <v>6</v>
      </c>
      <c r="C10" s="5" t="s">
        <v>26</v>
      </c>
      <c r="D10" s="5" t="s">
        <v>27</v>
      </c>
      <c r="E10" s="5" t="s">
        <v>28</v>
      </c>
      <c r="F10" s="5" t="s">
        <v>2</v>
      </c>
      <c r="H10" s="5" t="s">
        <v>6</v>
      </c>
      <c r="I10" s="5" t="s">
        <v>29</v>
      </c>
      <c r="J10" s="5" t="s">
        <v>27</v>
      </c>
      <c r="K10" s="5" t="s">
        <v>2</v>
      </c>
      <c r="M10" s="43"/>
      <c r="N10" s="44"/>
      <c r="O10" s="45"/>
      <c r="P10" s="46"/>
    </row>
    <row r="11" customFormat="false" ht="15" hidden="false" customHeight="false" outlineLevel="0" collapsed="false">
      <c r="B11" s="47"/>
      <c r="C11" s="93"/>
      <c r="D11" s="93"/>
      <c r="E11" s="48"/>
      <c r="F11" s="49"/>
      <c r="H11" s="50"/>
      <c r="I11" s="94"/>
      <c r="J11" s="51"/>
      <c r="K11" s="46"/>
      <c r="M11" s="52"/>
      <c r="N11" s="53"/>
      <c r="O11" s="54"/>
      <c r="P11" s="55"/>
    </row>
    <row r="12" customFormat="false" ht="15" hidden="false" customHeight="false" outlineLevel="0" collapsed="false">
      <c r="B12" s="56"/>
      <c r="C12" s="16"/>
      <c r="D12" s="16"/>
      <c r="E12" s="16"/>
      <c r="F12" s="58"/>
      <c r="H12" s="59"/>
      <c r="I12" s="94"/>
      <c r="J12" s="60"/>
      <c r="K12" s="55"/>
      <c r="M12" s="52"/>
      <c r="N12" s="53"/>
      <c r="O12" s="54"/>
      <c r="P12" s="55"/>
    </row>
    <row r="13" customFormat="false" ht="15" hidden="false" customHeight="false" outlineLevel="0" collapsed="false">
      <c r="B13" s="56"/>
      <c r="C13" s="16"/>
      <c r="D13" s="16"/>
      <c r="E13" s="16"/>
      <c r="F13" s="58"/>
      <c r="H13" s="59"/>
      <c r="I13" s="94"/>
      <c r="J13" s="60"/>
      <c r="K13" s="55"/>
      <c r="M13" s="52"/>
      <c r="N13" s="53"/>
      <c r="O13" s="54"/>
      <c r="P13" s="55"/>
    </row>
    <row r="14" customFormat="false" ht="15" hidden="false" customHeight="false" outlineLevel="0" collapsed="false">
      <c r="B14" s="56"/>
      <c r="C14" s="16"/>
      <c r="D14" s="16"/>
      <c r="E14" s="16"/>
      <c r="F14" s="58"/>
      <c r="H14" s="59"/>
      <c r="I14" s="94"/>
      <c r="J14" s="60"/>
      <c r="K14" s="55"/>
      <c r="M14" s="52"/>
      <c r="N14" s="53"/>
      <c r="O14" s="54"/>
      <c r="P14" s="55"/>
    </row>
    <row r="15" customFormat="false" ht="15" hidden="false" customHeight="false" outlineLevel="0" collapsed="false">
      <c r="B15" s="56"/>
      <c r="C15" s="16"/>
      <c r="D15" s="16"/>
      <c r="E15" s="16"/>
      <c r="F15" s="58"/>
      <c r="H15" s="59"/>
      <c r="I15" s="94"/>
      <c r="J15" s="60"/>
      <c r="K15" s="55"/>
      <c r="M15" s="52"/>
      <c r="N15" s="53"/>
      <c r="O15" s="54"/>
      <c r="P15" s="55"/>
    </row>
    <row r="16" customFormat="false" ht="15" hidden="false" customHeight="false" outlineLevel="0" collapsed="false">
      <c r="B16" s="56"/>
      <c r="C16" s="16"/>
      <c r="D16" s="16"/>
      <c r="E16" s="16"/>
      <c r="F16" s="58"/>
      <c r="H16" s="59"/>
      <c r="I16" s="94"/>
      <c r="J16" s="60"/>
      <c r="K16" s="55"/>
      <c r="M16" s="52"/>
      <c r="N16" s="53"/>
      <c r="O16" s="54"/>
      <c r="P16" s="55"/>
    </row>
    <row r="17" customFormat="false" ht="15" hidden="false" customHeight="false" outlineLevel="0" collapsed="false">
      <c r="B17" s="56"/>
      <c r="C17" s="16"/>
      <c r="D17" s="16"/>
      <c r="E17" s="16"/>
      <c r="F17" s="58"/>
      <c r="H17" s="59"/>
      <c r="I17" s="94"/>
      <c r="J17" s="60"/>
      <c r="K17" s="55"/>
      <c r="M17" s="52"/>
      <c r="N17" s="53"/>
      <c r="O17" s="54"/>
      <c r="P17" s="55"/>
    </row>
    <row r="18" customFormat="false" ht="15" hidden="false" customHeight="false" outlineLevel="0" collapsed="false">
      <c r="B18" s="56"/>
      <c r="C18" s="16"/>
      <c r="D18" s="16"/>
      <c r="E18" s="16"/>
      <c r="F18" s="58"/>
      <c r="H18" s="59"/>
      <c r="I18" s="94"/>
      <c r="J18" s="60"/>
      <c r="K18" s="55"/>
      <c r="M18" s="52"/>
      <c r="N18" s="53"/>
      <c r="O18" s="54"/>
      <c r="P18" s="55"/>
    </row>
    <row r="19" customFormat="false" ht="15" hidden="false" customHeight="false" outlineLevel="0" collapsed="false">
      <c r="B19" s="56"/>
      <c r="C19" s="16"/>
      <c r="D19" s="16"/>
      <c r="E19" s="16"/>
      <c r="F19" s="58"/>
      <c r="H19" s="59"/>
      <c r="I19" s="94"/>
      <c r="J19" s="60"/>
      <c r="K19" s="55"/>
      <c r="M19" s="52"/>
      <c r="N19" s="53"/>
      <c r="O19" s="54"/>
      <c r="P19" s="55"/>
    </row>
    <row r="20" customFormat="false" ht="15" hidden="false" customHeight="false" outlineLevel="0" collapsed="false">
      <c r="B20" s="56"/>
      <c r="C20" s="16"/>
      <c r="D20" s="16"/>
      <c r="E20" s="16"/>
      <c r="F20" s="58"/>
      <c r="H20" s="59"/>
      <c r="I20" s="94"/>
      <c r="J20" s="60"/>
      <c r="K20" s="55"/>
      <c r="M20" s="52"/>
      <c r="N20" s="53"/>
      <c r="O20" s="54"/>
      <c r="P20" s="55"/>
    </row>
    <row r="21" customFormat="false" ht="15" hidden="false" customHeight="false" outlineLevel="0" collapsed="false">
      <c r="B21" s="56"/>
      <c r="C21" s="16"/>
      <c r="D21" s="16"/>
      <c r="E21" s="16"/>
      <c r="F21" s="58"/>
      <c r="H21" s="59"/>
      <c r="I21" s="94"/>
      <c r="J21" s="60"/>
      <c r="K21" s="55"/>
      <c r="M21" s="52"/>
      <c r="N21" s="53"/>
      <c r="O21" s="54"/>
      <c r="P21" s="55"/>
    </row>
    <row r="22" customFormat="false" ht="15" hidden="false" customHeight="false" outlineLevel="0" collapsed="false">
      <c r="B22" s="56"/>
      <c r="C22" s="16"/>
      <c r="D22" s="16"/>
      <c r="E22" s="16"/>
      <c r="F22" s="58"/>
      <c r="H22" s="61"/>
      <c r="I22" s="62"/>
      <c r="J22" s="62"/>
      <c r="K22" s="63"/>
      <c r="M22" s="52"/>
      <c r="N22" s="53"/>
      <c r="O22" s="54"/>
      <c r="P22" s="55"/>
    </row>
    <row r="23" customFormat="false" ht="15" hidden="false" customHeight="false" outlineLevel="0" collapsed="false">
      <c r="B23" s="56"/>
      <c r="C23" s="16"/>
      <c r="D23" s="16"/>
      <c r="E23" s="16"/>
      <c r="F23" s="58"/>
      <c r="K23" s="12" t="n">
        <f aca="false">SUM(K11:K22)</f>
        <v>0</v>
      </c>
      <c r="M23" s="52"/>
      <c r="N23" s="53"/>
      <c r="O23" s="54"/>
      <c r="P23" s="55"/>
    </row>
    <row r="24" customFormat="false" ht="15" hidden="false" customHeight="false" outlineLevel="0" collapsed="false">
      <c r="B24" s="56"/>
      <c r="C24" s="16"/>
      <c r="D24" s="16"/>
      <c r="E24" s="16"/>
      <c r="F24" s="58"/>
      <c r="M24" s="52"/>
      <c r="N24" s="53"/>
      <c r="O24" s="54"/>
      <c r="P24" s="55"/>
    </row>
    <row r="25" customFormat="false" ht="15" hidden="false" customHeight="false" outlineLevel="0" collapsed="false">
      <c r="B25" s="56"/>
      <c r="C25" s="16"/>
      <c r="D25" s="16"/>
      <c r="E25" s="16"/>
      <c r="F25" s="58"/>
      <c r="M25" s="64"/>
      <c r="N25" s="65"/>
      <c r="O25" s="66"/>
      <c r="P25" s="63"/>
    </row>
    <row r="26" customFormat="false" ht="15" hidden="false" customHeight="false" outlineLevel="0" collapsed="false">
      <c r="B26" s="56"/>
      <c r="C26" s="16"/>
      <c r="D26" s="16"/>
      <c r="E26" s="16"/>
      <c r="F26" s="58"/>
    </row>
    <row r="27" customFormat="false" ht="15" hidden="false" customHeight="false" outlineLevel="0" collapsed="false">
      <c r="B27" s="56"/>
      <c r="C27" s="16"/>
      <c r="D27" s="16"/>
      <c r="E27" s="16"/>
      <c r="F27" s="58"/>
    </row>
    <row r="28" customFormat="false" ht="15" hidden="false" customHeight="false" outlineLevel="0" collapsed="false">
      <c r="B28" s="56"/>
      <c r="C28" s="16"/>
      <c r="D28" s="16"/>
      <c r="E28" s="16"/>
      <c r="F28" s="58"/>
    </row>
    <row r="29" customFormat="false" ht="15" hidden="false" customHeight="false" outlineLevel="0" collapsed="false">
      <c r="B29" s="56"/>
      <c r="C29" s="16"/>
      <c r="D29" s="16"/>
      <c r="E29" s="16"/>
      <c r="F29" s="58"/>
    </row>
    <row r="30" customFormat="false" ht="15" hidden="false" customHeight="false" outlineLevel="0" collapsed="false">
      <c r="B30" s="56"/>
      <c r="C30" s="16"/>
      <c r="D30" s="16"/>
      <c r="E30" s="16"/>
      <c r="F30" s="58"/>
    </row>
    <row r="31" customFormat="false" ht="15" hidden="false" customHeight="false" outlineLevel="0" collapsed="false">
      <c r="B31" s="56"/>
      <c r="C31" s="16"/>
      <c r="D31" s="16"/>
      <c r="E31" s="16"/>
      <c r="F31" s="58"/>
    </row>
    <row r="32" customFormat="false" ht="15" hidden="false" customHeight="false" outlineLevel="0" collapsed="false">
      <c r="B32" s="67"/>
      <c r="C32" s="33"/>
      <c r="D32" s="33"/>
      <c r="E32" s="33"/>
      <c r="F32" s="68"/>
    </row>
    <row r="35" customFormat="false" ht="15" hidden="false" customHeight="false" outlineLevel="0" collapsed="false">
      <c r="B35" s="69" t="s">
        <v>64</v>
      </c>
      <c r="C35" s="70" t="s">
        <v>65</v>
      </c>
      <c r="D35" s="71" t="n">
        <f aca="false">SUMIF($D$11:$D$32,C35,$F$11:$F$32)</f>
        <v>0</v>
      </c>
      <c r="H35" s="72" t="s">
        <v>66</v>
      </c>
      <c r="I35" s="71" t="n">
        <f aca="false">SUMIF($I$11:$I$22,H35,$K$11:$K$22)</f>
        <v>0</v>
      </c>
    </row>
    <row r="36" customFormat="false" ht="15" hidden="false" customHeight="false" outlineLevel="0" collapsed="false">
      <c r="B36" s="73" t="n">
        <f aca="false">SUM(D35:D39)</f>
        <v>0</v>
      </c>
      <c r="C36" s="74" t="s">
        <v>67</v>
      </c>
      <c r="D36" s="75" t="n">
        <f aca="false">SUMIF($D$11:$D$32,C36,$F$11:$F$32)</f>
        <v>0</v>
      </c>
      <c r="H36" s="76" t="s">
        <v>35</v>
      </c>
      <c r="I36" s="75" t="n">
        <f aca="false">SUMIF($I$11:$I$22,H36,$K$11:$K$22)</f>
        <v>0</v>
      </c>
    </row>
    <row r="37" customFormat="false" ht="15" hidden="false" customHeight="false" outlineLevel="0" collapsed="false">
      <c r="C37" s="74" t="s">
        <v>68</v>
      </c>
      <c r="D37" s="75" t="n">
        <f aca="false">SUMIF($D$11:$D$32,C37,$F$11:$F$32)</f>
        <v>0</v>
      </c>
      <c r="H37" s="76" t="s">
        <v>69</v>
      </c>
      <c r="I37" s="75" t="n">
        <f aca="false">SUMIF($I$11:$I$22,H37,$K$11:$K$22)</f>
        <v>0</v>
      </c>
    </row>
    <row r="38" customFormat="false" ht="15" hidden="false" customHeight="false" outlineLevel="0" collapsed="false">
      <c r="C38" s="74" t="s">
        <v>70</v>
      </c>
      <c r="D38" s="75" t="n">
        <f aca="false">SUMIF($D$11:$D$32,C38,$F$11:$F$32)</f>
        <v>0</v>
      </c>
      <c r="H38" s="76" t="s">
        <v>71</v>
      </c>
      <c r="I38" s="75" t="n">
        <f aca="false">SUMIF($I$11:$I$22,H38,$K$11:$K$22)</f>
        <v>0</v>
      </c>
    </row>
    <row r="39" customFormat="false" ht="15" hidden="false" customHeight="false" outlineLevel="0" collapsed="false">
      <c r="C39" s="77"/>
      <c r="D39" s="78" t="n">
        <f aca="false">SUMIF($D$11:$D$32,C39,$F$11:$F$32)</f>
        <v>0</v>
      </c>
      <c r="H39" s="76" t="s">
        <v>49</v>
      </c>
      <c r="I39" s="75" t="n">
        <f aca="false">SUMIF($I$11:$I$22,H39,$K$11:$K$22)</f>
        <v>0</v>
      </c>
    </row>
    <row r="40" customFormat="false" ht="15" hidden="false" customHeight="false" outlineLevel="0" collapsed="false">
      <c r="C40" s="79"/>
      <c r="D40" s="80"/>
      <c r="H40" s="76" t="s">
        <v>72</v>
      </c>
      <c r="I40" s="75" t="n">
        <f aca="false">SUMIF($I$11:$I$22,H40,$K$11:$K$22)</f>
        <v>0</v>
      </c>
    </row>
    <row r="41" customFormat="false" ht="15" hidden="false" customHeight="false" outlineLevel="0" collapsed="false">
      <c r="B41" s="69" t="s">
        <v>50</v>
      </c>
      <c r="C41" s="70" t="s">
        <v>73</v>
      </c>
      <c r="D41" s="71" t="n">
        <f aca="false">SUMIF($D$11:$D$32,C41,$F$11:$F$32)</f>
        <v>0</v>
      </c>
      <c r="H41" s="76" t="s">
        <v>74</v>
      </c>
      <c r="I41" s="75" t="n">
        <f aca="false">SUMIF($I$11:$I$22,H41,$K$11:$K$22)</f>
        <v>0</v>
      </c>
    </row>
    <row r="42" customFormat="false" ht="15" hidden="false" customHeight="false" outlineLevel="0" collapsed="false">
      <c r="B42" s="73" t="n">
        <f aca="false">SUBTOTAL(9,D41:D48)</f>
        <v>0</v>
      </c>
      <c r="C42" s="74" t="s">
        <v>75</v>
      </c>
      <c r="D42" s="75" t="n">
        <f aca="false">SUMIF($D$11:$D$32,C42,$F$11:$F$32)</f>
        <v>0</v>
      </c>
      <c r="H42" s="76" t="s">
        <v>42</v>
      </c>
      <c r="I42" s="75" t="n">
        <f aca="false">SUMIF($I$11:$I$22,H42,$K$11:$K$22)</f>
        <v>0</v>
      </c>
    </row>
    <row r="43" customFormat="false" ht="15" hidden="false" customHeight="false" outlineLevel="0" collapsed="false">
      <c r="C43" s="74" t="s">
        <v>76</v>
      </c>
      <c r="D43" s="75" t="n">
        <f aca="false">SUMIF($D$11:$D$32,C43,$F$11:$F$32)</f>
        <v>0</v>
      </c>
      <c r="H43" s="76" t="s">
        <v>77</v>
      </c>
      <c r="I43" s="75" t="n">
        <f aca="false">SUMIF($I$11:$I$22,H43,$K$11:$K$22)</f>
        <v>0</v>
      </c>
    </row>
    <row r="44" customFormat="false" ht="15" hidden="false" customHeight="false" outlineLevel="0" collapsed="false">
      <c r="C44" s="74" t="s">
        <v>78</v>
      </c>
      <c r="D44" s="75" t="n">
        <f aca="false">SUMIF($D$11:$D$32,C44,$F$11:$F$32)</f>
        <v>0</v>
      </c>
      <c r="H44" s="76" t="s">
        <v>79</v>
      </c>
      <c r="I44" s="75" t="n">
        <f aca="false">SUMIF($I$11:$I$22,H44,$K$11:$K$22)</f>
        <v>0</v>
      </c>
    </row>
    <row r="45" customFormat="false" ht="15" hidden="false" customHeight="false" outlineLevel="0" collapsed="false">
      <c r="C45" s="74" t="s">
        <v>80</v>
      </c>
      <c r="D45" s="75" t="n">
        <f aca="false">SUMIF($D$11:$D$32,C45,$F$11:$F$32)</f>
        <v>0</v>
      </c>
      <c r="H45" s="81"/>
      <c r="I45" s="78" t="n">
        <f aca="false">SUMIF($I$11:$I$22,H45,$K$11:$K$22)</f>
        <v>0</v>
      </c>
    </row>
    <row r="46" customFormat="false" ht="15" hidden="false" customHeight="false" outlineLevel="0" collapsed="false">
      <c r="C46" s="74" t="s">
        <v>51</v>
      </c>
      <c r="D46" s="75" t="n">
        <f aca="false">SUMIF($D$11:$D$32,C46,$F$11:$F$32)</f>
        <v>0</v>
      </c>
    </row>
    <row r="47" customFormat="false" ht="15" hidden="false" customHeight="false" outlineLevel="0" collapsed="false">
      <c r="C47" s="82"/>
      <c r="D47" s="83" t="n">
        <f aca="false">SUMIF($D$11:$D$32,C47,$F$11:$F$32)</f>
        <v>0</v>
      </c>
    </row>
    <row r="48" customFormat="false" ht="15" hidden="false" customHeight="false" outlineLevel="0" collapsed="false">
      <c r="C48" s="77"/>
      <c r="D48" s="78" t="n">
        <f aca="false">SUMIF($D$11:$D$32,C48,$F$11:$F$32)</f>
        <v>0</v>
      </c>
    </row>
    <row r="49" customFormat="false" ht="15" hidden="false" customHeight="false" outlineLevel="0" collapsed="false">
      <c r="D49" s="80"/>
    </row>
    <row r="50" customFormat="false" ht="15" hidden="false" customHeight="false" outlineLevel="0" collapsed="false">
      <c r="B50" s="69" t="s">
        <v>32</v>
      </c>
      <c r="C50" s="70" t="s">
        <v>81</v>
      </c>
      <c r="D50" s="71" t="n">
        <f aca="false">SUMIF($D$11:$D$32,C50,$F$11:$F$32)</f>
        <v>0</v>
      </c>
    </row>
    <row r="51" customFormat="false" ht="15" hidden="false" customHeight="false" outlineLevel="0" collapsed="false">
      <c r="B51" s="73" t="n">
        <f aca="false">SUM(D50:D56)</f>
        <v>0</v>
      </c>
      <c r="C51" s="74" t="s">
        <v>57</v>
      </c>
      <c r="D51" s="75" t="n">
        <f aca="false">SUMIF($D$11:$D$32,C51,$F$11:$F$32)</f>
        <v>0</v>
      </c>
    </row>
    <row r="52" customFormat="false" ht="15" hidden="false" customHeight="false" outlineLevel="0" collapsed="false">
      <c r="C52" s="74" t="s">
        <v>82</v>
      </c>
      <c r="D52" s="75" t="n">
        <f aca="false">SUMIF($D$11:$D$32,C52,$F$11:$F$32)</f>
        <v>0</v>
      </c>
    </row>
    <row r="53" customFormat="false" ht="15" hidden="false" customHeight="false" outlineLevel="0" collapsed="false">
      <c r="C53" s="74" t="s">
        <v>33</v>
      </c>
      <c r="D53" s="75" t="n">
        <f aca="false">SUMIF($D$11:$D$32,C53,$F$11:$F$32)</f>
        <v>0</v>
      </c>
    </row>
    <row r="54" customFormat="false" ht="15" hidden="false" customHeight="false" outlineLevel="0" collapsed="false">
      <c r="C54" s="74" t="s">
        <v>83</v>
      </c>
      <c r="D54" s="75" t="n">
        <f aca="false">SUMIF($D$11:$D$32,C54,$F$11:$F$32)</f>
        <v>0</v>
      </c>
    </row>
    <row r="55" customFormat="false" ht="15" hidden="false" customHeight="false" outlineLevel="0" collapsed="false">
      <c r="C55" s="74" t="s">
        <v>59</v>
      </c>
      <c r="D55" s="75" t="n">
        <f aca="false">SUMIF($D$11:$D$32,C55,$F$11:$F$32)</f>
        <v>0</v>
      </c>
    </row>
    <row r="56" customFormat="false" ht="15" hidden="false" customHeight="false" outlineLevel="0" collapsed="false">
      <c r="C56" s="64"/>
      <c r="D56" s="78" t="n">
        <f aca="false">SUMIF($D$11:$D$32,C56,$F$11:$F$32)</f>
        <v>0</v>
      </c>
    </row>
    <row r="57" customFormat="false" ht="15" hidden="false" customHeight="false" outlineLevel="0" collapsed="false">
      <c r="D57" s="80"/>
    </row>
    <row r="58" customFormat="false" ht="15" hidden="false" customHeight="false" outlineLevel="0" collapsed="false">
      <c r="B58" s="69" t="s">
        <v>39</v>
      </c>
      <c r="C58" s="70" t="s">
        <v>84</v>
      </c>
      <c r="D58" s="71" t="n">
        <f aca="false">SUMIF($D$11:$D$32,C58,$F$11:$F$32)</f>
        <v>0</v>
      </c>
    </row>
    <row r="59" customFormat="false" ht="15" hidden="false" customHeight="false" outlineLevel="0" collapsed="false">
      <c r="B59" s="73" t="n">
        <f aca="false">SUM(D58:D64)</f>
        <v>0</v>
      </c>
      <c r="C59" s="74" t="s">
        <v>40</v>
      </c>
      <c r="D59" s="75" t="n">
        <f aca="false">SUMIF($D$11:$D$32,C59,$F$11:$F$32)</f>
        <v>0</v>
      </c>
    </row>
    <row r="60" customFormat="false" ht="15" hidden="false" customHeight="false" outlineLevel="0" collapsed="false">
      <c r="C60" s="74" t="s">
        <v>85</v>
      </c>
      <c r="D60" s="75" t="n">
        <f aca="false">SUMIF($D$11:$D$32,C60,$F$11:$F$32)</f>
        <v>0</v>
      </c>
    </row>
    <row r="61" customFormat="false" ht="15" hidden="false" customHeight="false" outlineLevel="0" collapsed="false">
      <c r="C61" s="74" t="s">
        <v>86</v>
      </c>
      <c r="D61" s="75" t="n">
        <f aca="false">SUMIF($D$11:$D$32,C61,$F$11:$F$32)</f>
        <v>0</v>
      </c>
    </row>
    <row r="62" customFormat="false" ht="15" hidden="false" customHeight="false" outlineLevel="0" collapsed="false">
      <c r="C62" s="74" t="s">
        <v>47</v>
      </c>
      <c r="D62" s="75" t="n">
        <f aca="false">SUMIF($D$11:$D$32,C62,$F$11:$F$32)</f>
        <v>0</v>
      </c>
    </row>
    <row r="63" customFormat="false" ht="15" hidden="false" customHeight="false" outlineLevel="0" collapsed="false">
      <c r="C63" s="74" t="s">
        <v>87</v>
      </c>
      <c r="D63" s="75" t="n">
        <f aca="false">SUMIF($D$11:$D$32,C63,$F$11:$F$32)</f>
        <v>0</v>
      </c>
    </row>
    <row r="64" customFormat="false" ht="15" hidden="false" customHeight="false" outlineLevel="0" collapsed="false">
      <c r="C64" s="64"/>
      <c r="D64" s="78" t="n">
        <f aca="false">SUMIF($D$11:$D$32,C64,$F$11:$F$32)</f>
        <v>0</v>
      </c>
    </row>
    <row r="65" customFormat="false" ht="15" hidden="false" customHeight="false" outlineLevel="0" collapsed="false">
      <c r="D65" s="80"/>
    </row>
    <row r="66" customFormat="false" ht="15" hidden="false" customHeight="false" outlineLevel="0" collapsed="false">
      <c r="B66" s="69" t="s">
        <v>88</v>
      </c>
      <c r="C66" s="70" t="s">
        <v>89</v>
      </c>
      <c r="D66" s="71" t="n">
        <f aca="false">SUMIF($D$11:$D$32,C66,$F$11:$F$32)</f>
        <v>0</v>
      </c>
    </row>
    <row r="67" customFormat="false" ht="15" hidden="false" customHeight="false" outlineLevel="0" collapsed="false">
      <c r="B67" s="73" t="n">
        <f aca="false">SUM(D66:D72)</f>
        <v>0</v>
      </c>
      <c r="C67" s="74" t="s">
        <v>90</v>
      </c>
      <c r="D67" s="75" t="n">
        <f aca="false">SUMIF($D$11:$D$32,C67,$F$11:$F$32)</f>
        <v>0</v>
      </c>
    </row>
    <row r="68" customFormat="false" ht="15" hidden="false" customHeight="false" outlineLevel="0" collapsed="false">
      <c r="C68" s="74" t="s">
        <v>91</v>
      </c>
      <c r="D68" s="75" t="n">
        <f aca="false">SUMIF($D$11:$D$32,C68,$F$11:$F$32)</f>
        <v>0</v>
      </c>
    </row>
    <row r="69" customFormat="false" ht="15" hidden="false" customHeight="false" outlineLevel="0" collapsed="false">
      <c r="C69" s="74" t="s">
        <v>92</v>
      </c>
      <c r="D69" s="75" t="n">
        <f aca="false">SUMIF($D$11:$D$32,C69,$F$11:$F$32)</f>
        <v>0</v>
      </c>
    </row>
    <row r="70" customFormat="false" ht="15" hidden="false" customHeight="false" outlineLevel="0" collapsed="false">
      <c r="C70" s="74" t="s">
        <v>93</v>
      </c>
      <c r="D70" s="75" t="n">
        <f aca="false">SUMIF($D$11:$D$32,C70,$F$11:$F$32)</f>
        <v>0</v>
      </c>
    </row>
    <row r="71" customFormat="false" ht="15" hidden="false" customHeight="false" outlineLevel="0" collapsed="false">
      <c r="C71" s="74" t="s">
        <v>94</v>
      </c>
      <c r="D71" s="75" t="n">
        <f aca="false">SUMIF($D$11:$D$32,C71,$F$11:$F$32)</f>
        <v>0</v>
      </c>
    </row>
    <row r="72" customFormat="false" ht="15" hidden="false" customHeight="false" outlineLevel="0" collapsed="false">
      <c r="C72" s="64"/>
      <c r="D72" s="78" t="n">
        <f aca="false">SUMIF($D$11:$D$32,C72,$F$11:$F$32)</f>
        <v>0</v>
      </c>
    </row>
    <row r="73" customFormat="false" ht="15" hidden="false" customHeight="false" outlineLevel="0" collapsed="false">
      <c r="D73" s="80"/>
    </row>
    <row r="74" customFormat="false" ht="15" hidden="false" customHeight="false" outlineLevel="0" collapsed="false">
      <c r="B74" s="69" t="s">
        <v>77</v>
      </c>
      <c r="C74" s="70" t="s">
        <v>95</v>
      </c>
      <c r="D74" s="71" t="n">
        <f aca="false">SUMIF($D$11:$D$32,C74,$F$11:$F$32)</f>
        <v>0</v>
      </c>
    </row>
    <row r="75" customFormat="false" ht="15" hidden="false" customHeight="false" outlineLevel="0" collapsed="false">
      <c r="B75" s="73" t="n">
        <f aca="false">SUM(D74:D80)</f>
        <v>0</v>
      </c>
      <c r="C75" s="74" t="s">
        <v>96</v>
      </c>
      <c r="D75" s="75" t="n">
        <f aca="false">SUMIF($D$11:$D$32,C75,$F$11:$F$32)</f>
        <v>0</v>
      </c>
    </row>
    <row r="76" customFormat="false" ht="15" hidden="false" customHeight="false" outlineLevel="0" collapsed="false">
      <c r="C76" s="74" t="s">
        <v>97</v>
      </c>
      <c r="D76" s="75" t="n">
        <f aca="false">SUMIF($D$11:$D$32,C76,$F$11:$F$32)</f>
        <v>0</v>
      </c>
    </row>
    <row r="77" customFormat="false" ht="15" hidden="false" customHeight="false" outlineLevel="0" collapsed="false">
      <c r="C77" s="74" t="s">
        <v>98</v>
      </c>
      <c r="D77" s="75" t="n">
        <f aca="false">SUMIF($D$11:$D$32,C77,$F$11:$F$32)</f>
        <v>0</v>
      </c>
    </row>
    <row r="78" customFormat="false" ht="15" hidden="false" customHeight="false" outlineLevel="0" collapsed="false">
      <c r="C78" s="74"/>
      <c r="D78" s="75" t="n">
        <f aca="false">SUMIF($D$11:$D$32,C78,$F$11:$F$32)</f>
        <v>0</v>
      </c>
    </row>
    <row r="79" customFormat="false" ht="15" hidden="false" customHeight="false" outlineLevel="0" collapsed="false">
      <c r="C79" s="74"/>
      <c r="D79" s="75" t="n">
        <f aca="false">SUMIF($D$11:$D$32,C79,$F$11:$F$32)</f>
        <v>0</v>
      </c>
    </row>
    <row r="80" customFormat="false" ht="15" hidden="false" customHeight="false" outlineLevel="0" collapsed="false">
      <c r="C80" s="64"/>
      <c r="D80" s="78" t="n">
        <f aca="false">SUMIF($D$11:$D$32,C80,$F$11:$F$32)</f>
        <v>0</v>
      </c>
    </row>
    <row r="81" customFormat="false" ht="15" hidden="false" customHeight="false" outlineLevel="0" collapsed="false">
      <c r="D81" s="80"/>
    </row>
    <row r="82" customFormat="false" ht="15" hidden="false" customHeight="false" outlineLevel="0" collapsed="false">
      <c r="B82" s="69" t="s">
        <v>99</v>
      </c>
      <c r="C82" s="70" t="s">
        <v>100</v>
      </c>
      <c r="D82" s="71" t="n">
        <f aca="false">SUMIF($D$11:$D$32,C82,$F$11:$F$32)</f>
        <v>0</v>
      </c>
    </row>
    <row r="83" customFormat="false" ht="15" hidden="false" customHeight="false" outlineLevel="0" collapsed="false">
      <c r="B83" s="73" t="n">
        <f aca="false">SUM(D82:D88)</f>
        <v>0</v>
      </c>
      <c r="C83" s="74" t="s">
        <v>101</v>
      </c>
      <c r="D83" s="75" t="n">
        <f aca="false">SUMIF($D$11:$D$32,C83,$F$11:$F$32)</f>
        <v>0</v>
      </c>
    </row>
    <row r="84" customFormat="false" ht="15" hidden="false" customHeight="false" outlineLevel="0" collapsed="false">
      <c r="C84" s="74" t="s">
        <v>102</v>
      </c>
      <c r="D84" s="75" t="n">
        <f aca="false">SUMIF($D$11:$D$32,C84,$F$11:$F$32)</f>
        <v>0</v>
      </c>
    </row>
    <row r="85" customFormat="false" ht="15" hidden="false" customHeight="false" outlineLevel="0" collapsed="false">
      <c r="C85" s="74" t="s">
        <v>103</v>
      </c>
      <c r="D85" s="75" t="n">
        <f aca="false">SUMIF($D$11:$D$32,C85,$F$11:$F$32)</f>
        <v>0</v>
      </c>
    </row>
    <row r="86" customFormat="false" ht="15" hidden="false" customHeight="false" outlineLevel="0" collapsed="false">
      <c r="C86" s="74" t="s">
        <v>104</v>
      </c>
      <c r="D86" s="75" t="n">
        <f aca="false">SUMIF($D$11:$D$32,C86,$F$11:$F$32)</f>
        <v>0</v>
      </c>
    </row>
    <row r="87" customFormat="false" ht="15" hidden="false" customHeight="false" outlineLevel="0" collapsed="false">
      <c r="C87" s="74" t="s">
        <v>105</v>
      </c>
      <c r="D87" s="75" t="n">
        <f aca="false">SUMIF($D$11:$D$32,C87,$F$11:$F$32)</f>
        <v>0</v>
      </c>
    </row>
    <row r="88" customFormat="false" ht="15" hidden="false" customHeight="false" outlineLevel="0" collapsed="false">
      <c r="C88" s="64"/>
      <c r="D88" s="78" t="n">
        <f aca="false">SUMIF($D$11:$D$32,C88,$F$11:$F$32)</f>
        <v>0</v>
      </c>
    </row>
    <row r="90" customFormat="false" ht="15" hidden="false" customHeight="false" outlineLevel="0" collapsed="false">
      <c r="B90" s="69" t="s">
        <v>79</v>
      </c>
      <c r="C90" s="70"/>
      <c r="D90" s="71" t="n">
        <f aca="false">SUMIF(C11:C32,B90,F11:F32)</f>
        <v>0</v>
      </c>
    </row>
  </sheetData>
  <mergeCells count="3">
    <mergeCell ref="H2:K2"/>
    <mergeCell ref="B9:F9"/>
    <mergeCell ref="H9:K9"/>
  </mergeCells>
  <dataValidations count="3">
    <dataValidation allowBlank="true" errorStyle="stop" operator="between" showDropDown="false" showErrorMessage="true" showInputMessage="true" sqref="D11:D32" type="list">
      <formula1>INDIRECT(C11)</formula1>
      <formula2>0</formula2>
    </dataValidation>
    <dataValidation allowBlank="true" errorStyle="stop" operator="between" showDropDown="false" showErrorMessage="true" showInputMessage="true" sqref="I11:I22" type="list">
      <formula1>Modelo!$R$3:$R$14</formula1>
      <formula2>0</formula2>
    </dataValidation>
    <dataValidation allowBlank="true" errorStyle="stop" operator="between" showDropDown="false" showErrorMessage="true" showInputMessage="true" sqref="C11:C32" type="list">
      <formula1>Modelo!$P$3:$P$11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DD7EE"/>
    <pageSetUpPr fitToPage="false"/>
  </sheetPr>
  <dimension ref="B2:P90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D91" activeCellId="0" sqref="D9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.15"/>
    <col collapsed="false" customWidth="true" hidden="false" outlineLevel="0" max="3" min="3" style="1" width="41.57"/>
    <col collapsed="false" customWidth="true" hidden="false" outlineLevel="0" max="4" min="4" style="1" width="43.57"/>
    <col collapsed="false" customWidth="true" hidden="false" outlineLevel="0" max="5" min="5" style="1" width="24.86"/>
    <col collapsed="false" customWidth="true" hidden="false" outlineLevel="0" max="6" min="6" style="1" width="14.86"/>
    <col collapsed="false" customWidth="true" hidden="false" outlineLevel="0" max="7" min="7" style="1" width="2.57"/>
    <col collapsed="false" customWidth="true" hidden="false" outlineLevel="0" max="8" min="8" style="1" width="17.86"/>
    <col collapsed="false" customWidth="true" hidden="false" outlineLevel="0" max="9" min="9" style="1" width="13.71"/>
    <col collapsed="false" customWidth="true" hidden="false" outlineLevel="0" max="10" min="10" style="1" width="11.85"/>
    <col collapsed="false" customWidth="true" hidden="false" outlineLevel="0" max="11" min="11" style="1" width="34.42"/>
    <col collapsed="false" customWidth="true" hidden="false" outlineLevel="0" max="12" min="12" style="1" width="8.42"/>
    <col collapsed="false" customWidth="true" hidden="false" outlineLevel="0" max="13" min="13" style="1" width="12"/>
    <col collapsed="false" customWidth="true" hidden="false" outlineLevel="0" max="14" min="14" style="95" width="10.71"/>
    <col collapsed="false" customWidth="true" hidden="false" outlineLevel="0" max="15" min="15" style="1" width="12"/>
    <col collapsed="false" customWidth="true" hidden="false" outlineLevel="0" max="16" min="16" style="1" width="15.85"/>
  </cols>
  <sheetData>
    <row r="2" customFormat="false" ht="15" hidden="false" customHeight="false" outlineLevel="0" collapsed="false">
      <c r="B2" s="2" t="s">
        <v>207</v>
      </c>
      <c r="C2" s="3" t="s">
        <v>1</v>
      </c>
      <c r="D2" s="4" t="s">
        <v>2</v>
      </c>
      <c r="E2" s="3"/>
      <c r="F2" s="5" t="s">
        <v>3</v>
      </c>
      <c r="H2" s="6"/>
      <c r="I2" s="6"/>
      <c r="J2" s="6"/>
      <c r="K2" s="6"/>
    </row>
    <row r="3" customFormat="false" ht="15" hidden="false" customHeight="false" outlineLevel="0" collapsed="false">
      <c r="B3" s="7" t="s">
        <v>4</v>
      </c>
      <c r="C3" s="8"/>
      <c r="D3" s="9"/>
      <c r="E3" s="10" t="s">
        <v>1</v>
      </c>
      <c r="F3" s="11" t="n">
        <f aca="false">SUM(D3,D5,D6,D7,D4)</f>
        <v>1008.11</v>
      </c>
      <c r="I3" s="2" t="s">
        <v>6</v>
      </c>
      <c r="K3" s="13" t="s">
        <v>7</v>
      </c>
      <c r="L3" s="14"/>
    </row>
    <row r="4" customFormat="false" ht="15" hidden="false" customHeight="false" outlineLevel="0" collapsed="false">
      <c r="B4" s="15" t="s">
        <v>8</v>
      </c>
      <c r="C4" s="16"/>
      <c r="D4" s="17" t="n">
        <f aca="false">SUM(P10:P25)</f>
        <v>0</v>
      </c>
      <c r="E4" s="18" t="s">
        <v>9</v>
      </c>
      <c r="F4" s="19" t="n">
        <f aca="false">SUM(F11:F32)</f>
        <v>0</v>
      </c>
      <c r="I4" s="20" t="n">
        <f aca="true">TODAY()</f>
        <v>46242</v>
      </c>
      <c r="K4" s="13" t="s">
        <v>11</v>
      </c>
      <c r="L4" s="14"/>
    </row>
    <row r="5" customFormat="false" ht="15" hidden="false" customHeight="false" outlineLevel="0" collapsed="false">
      <c r="B5" s="21" t="s">
        <v>12</v>
      </c>
      <c r="C5" s="22"/>
      <c r="D5" s="23"/>
      <c r="E5" s="24" t="s">
        <v>13</v>
      </c>
      <c r="F5" s="25" t="n">
        <f aca="false">D4</f>
        <v>0</v>
      </c>
      <c r="I5" s="26" t="s">
        <v>14</v>
      </c>
      <c r="K5" s="13" t="s">
        <v>15</v>
      </c>
      <c r="L5" s="14" t="n">
        <f aca="false">SUM(P10:P25)</f>
        <v>0</v>
      </c>
    </row>
    <row r="6" customFormat="false" ht="15" hidden="false" customHeight="false" outlineLevel="0" collapsed="false">
      <c r="B6" s="21" t="s">
        <v>16</v>
      </c>
      <c r="C6" s="22"/>
      <c r="D6" s="23"/>
      <c r="E6" s="27" t="s">
        <v>17</v>
      </c>
      <c r="F6" s="28" t="n">
        <f aca="false">SUM(K11:K22)</f>
        <v>0</v>
      </c>
      <c r="I6" s="29" t="n">
        <v>46002</v>
      </c>
      <c r="K6" s="30" t="s">
        <v>18</v>
      </c>
      <c r="L6" s="31"/>
    </row>
    <row r="7" customFormat="false" ht="15" hidden="false" customHeight="false" outlineLevel="0" collapsed="false">
      <c r="B7" s="32" t="s">
        <v>107</v>
      </c>
      <c r="C7" s="33"/>
      <c r="D7" s="34" t="n">
        <f aca="false">Nov!F7</f>
        <v>1008.11</v>
      </c>
      <c r="E7" s="35" t="s">
        <v>19</v>
      </c>
      <c r="F7" s="36" t="n">
        <f aca="false">F3-F4-F6</f>
        <v>1008.11</v>
      </c>
    </row>
    <row r="9" customFormat="false" ht="15" hidden="false" customHeight="false" outlineLevel="0" collapsed="false">
      <c r="B9" s="37" t="s">
        <v>20</v>
      </c>
      <c r="C9" s="37"/>
      <c r="D9" s="37"/>
      <c r="E9" s="37"/>
      <c r="F9" s="37"/>
      <c r="H9" s="38" t="s">
        <v>21</v>
      </c>
      <c r="I9" s="38"/>
      <c r="J9" s="38"/>
      <c r="K9" s="38"/>
      <c r="M9" s="39" t="s">
        <v>108</v>
      </c>
      <c r="N9" s="40" t="s">
        <v>23</v>
      </c>
      <c r="O9" s="41" t="s">
        <v>24</v>
      </c>
      <c r="P9" s="42" t="s">
        <v>25</v>
      </c>
    </row>
    <row r="10" customFormat="false" ht="15" hidden="false" customHeight="false" outlineLevel="0" collapsed="false">
      <c r="B10" s="5" t="s">
        <v>6</v>
      </c>
      <c r="C10" s="5" t="s">
        <v>26</v>
      </c>
      <c r="D10" s="5" t="s">
        <v>27</v>
      </c>
      <c r="E10" s="5" t="s">
        <v>28</v>
      </c>
      <c r="F10" s="5" t="s">
        <v>2</v>
      </c>
      <c r="H10" s="5" t="s">
        <v>6</v>
      </c>
      <c r="I10" s="5" t="s">
        <v>29</v>
      </c>
      <c r="J10" s="5" t="s">
        <v>27</v>
      </c>
      <c r="K10" s="5" t="s">
        <v>2</v>
      </c>
      <c r="M10" s="43"/>
      <c r="N10" s="96"/>
      <c r="O10" s="45"/>
      <c r="P10" s="46"/>
    </row>
    <row r="11" customFormat="false" ht="15" hidden="false" customHeight="false" outlineLevel="0" collapsed="false">
      <c r="B11" s="47"/>
      <c r="C11" s="93"/>
      <c r="D11" s="93"/>
      <c r="E11" s="48"/>
      <c r="F11" s="49"/>
      <c r="H11" s="50"/>
      <c r="I11" s="94"/>
      <c r="J11" s="51"/>
      <c r="K11" s="46"/>
      <c r="M11" s="52"/>
      <c r="N11" s="97"/>
      <c r="O11" s="54"/>
      <c r="P11" s="55"/>
    </row>
    <row r="12" customFormat="false" ht="15" hidden="false" customHeight="false" outlineLevel="0" collapsed="false">
      <c r="B12" s="56"/>
      <c r="C12" s="16"/>
      <c r="D12" s="16"/>
      <c r="E12" s="16"/>
      <c r="F12" s="58"/>
      <c r="H12" s="59"/>
      <c r="I12" s="94"/>
      <c r="J12" s="60"/>
      <c r="K12" s="55"/>
      <c r="M12" s="52"/>
      <c r="N12" s="97"/>
      <c r="O12" s="54"/>
      <c r="P12" s="55"/>
    </row>
    <row r="13" customFormat="false" ht="15" hidden="false" customHeight="false" outlineLevel="0" collapsed="false">
      <c r="B13" s="56"/>
      <c r="C13" s="16"/>
      <c r="D13" s="16"/>
      <c r="E13" s="16"/>
      <c r="F13" s="58"/>
      <c r="H13" s="59"/>
      <c r="I13" s="94"/>
      <c r="J13" s="60"/>
      <c r="K13" s="55"/>
      <c r="M13" s="52"/>
      <c r="N13" s="97"/>
      <c r="O13" s="54"/>
      <c r="P13" s="55"/>
    </row>
    <row r="14" customFormat="false" ht="15" hidden="false" customHeight="false" outlineLevel="0" collapsed="false">
      <c r="B14" s="56"/>
      <c r="C14" s="16"/>
      <c r="D14" s="16"/>
      <c r="E14" s="16"/>
      <c r="F14" s="58"/>
      <c r="H14" s="59"/>
      <c r="I14" s="94"/>
      <c r="J14" s="60"/>
      <c r="K14" s="55"/>
      <c r="M14" s="52"/>
      <c r="N14" s="97"/>
      <c r="O14" s="54"/>
      <c r="P14" s="55"/>
    </row>
    <row r="15" customFormat="false" ht="15" hidden="false" customHeight="false" outlineLevel="0" collapsed="false">
      <c r="B15" s="56"/>
      <c r="C15" s="16"/>
      <c r="D15" s="16"/>
      <c r="E15" s="16"/>
      <c r="F15" s="58"/>
      <c r="H15" s="59"/>
      <c r="I15" s="94"/>
      <c r="J15" s="60"/>
      <c r="K15" s="55"/>
      <c r="M15" s="52"/>
      <c r="N15" s="97"/>
      <c r="O15" s="54"/>
      <c r="P15" s="55"/>
    </row>
    <row r="16" customFormat="false" ht="15" hidden="false" customHeight="false" outlineLevel="0" collapsed="false">
      <c r="B16" s="56"/>
      <c r="C16" s="16"/>
      <c r="D16" s="16"/>
      <c r="E16" s="16"/>
      <c r="F16" s="58"/>
      <c r="H16" s="59"/>
      <c r="I16" s="94"/>
      <c r="J16" s="60"/>
      <c r="K16" s="55"/>
      <c r="M16" s="52"/>
      <c r="N16" s="97"/>
      <c r="O16" s="54"/>
      <c r="P16" s="55"/>
    </row>
    <row r="17" customFormat="false" ht="15" hidden="false" customHeight="false" outlineLevel="0" collapsed="false">
      <c r="B17" s="56"/>
      <c r="C17" s="16"/>
      <c r="D17" s="16"/>
      <c r="E17" s="16"/>
      <c r="F17" s="58"/>
      <c r="H17" s="59"/>
      <c r="I17" s="94"/>
      <c r="J17" s="60"/>
      <c r="K17" s="55"/>
      <c r="M17" s="52"/>
      <c r="N17" s="97"/>
      <c r="O17" s="54"/>
      <c r="P17" s="55"/>
    </row>
    <row r="18" customFormat="false" ht="15" hidden="false" customHeight="false" outlineLevel="0" collapsed="false">
      <c r="B18" s="56"/>
      <c r="C18" s="16"/>
      <c r="D18" s="16"/>
      <c r="E18" s="16"/>
      <c r="F18" s="58"/>
      <c r="H18" s="59"/>
      <c r="I18" s="94"/>
      <c r="J18" s="60"/>
      <c r="K18" s="55"/>
      <c r="M18" s="52"/>
      <c r="N18" s="97"/>
      <c r="O18" s="54"/>
      <c r="P18" s="55"/>
    </row>
    <row r="19" customFormat="false" ht="15" hidden="false" customHeight="false" outlineLevel="0" collapsed="false">
      <c r="B19" s="56"/>
      <c r="C19" s="16"/>
      <c r="D19" s="16"/>
      <c r="E19" s="16"/>
      <c r="F19" s="58"/>
      <c r="H19" s="59"/>
      <c r="I19" s="94"/>
      <c r="J19" s="60"/>
      <c r="K19" s="55"/>
      <c r="M19" s="52"/>
      <c r="N19" s="97"/>
      <c r="O19" s="54"/>
      <c r="P19" s="55"/>
    </row>
    <row r="20" customFormat="false" ht="15" hidden="false" customHeight="false" outlineLevel="0" collapsed="false">
      <c r="B20" s="56"/>
      <c r="C20" s="16"/>
      <c r="D20" s="16"/>
      <c r="E20" s="16"/>
      <c r="F20" s="58"/>
      <c r="H20" s="59"/>
      <c r="I20" s="94"/>
      <c r="J20" s="60"/>
      <c r="K20" s="55"/>
      <c r="M20" s="52"/>
      <c r="N20" s="97"/>
      <c r="O20" s="54"/>
      <c r="P20" s="55"/>
    </row>
    <row r="21" customFormat="false" ht="15" hidden="false" customHeight="false" outlineLevel="0" collapsed="false">
      <c r="B21" s="56"/>
      <c r="C21" s="16"/>
      <c r="D21" s="16"/>
      <c r="E21" s="16"/>
      <c r="F21" s="58"/>
      <c r="H21" s="59"/>
      <c r="I21" s="94"/>
      <c r="J21" s="60"/>
      <c r="K21" s="55"/>
      <c r="M21" s="52"/>
      <c r="N21" s="97"/>
      <c r="O21" s="54"/>
      <c r="P21" s="55"/>
    </row>
    <row r="22" customFormat="false" ht="15" hidden="false" customHeight="false" outlineLevel="0" collapsed="false">
      <c r="B22" s="56"/>
      <c r="C22" s="16"/>
      <c r="D22" s="16"/>
      <c r="E22" s="16"/>
      <c r="F22" s="58"/>
      <c r="H22" s="61"/>
      <c r="I22" s="62"/>
      <c r="J22" s="62"/>
      <c r="K22" s="63"/>
      <c r="M22" s="52"/>
      <c r="N22" s="97"/>
      <c r="O22" s="54"/>
      <c r="P22" s="55"/>
    </row>
    <row r="23" customFormat="false" ht="15" hidden="false" customHeight="false" outlineLevel="0" collapsed="false">
      <c r="B23" s="56"/>
      <c r="C23" s="16"/>
      <c r="D23" s="16"/>
      <c r="E23" s="16"/>
      <c r="F23" s="58"/>
      <c r="K23" s="12" t="n">
        <f aca="false">SUM(K11:K22)</f>
        <v>0</v>
      </c>
      <c r="M23" s="52"/>
      <c r="N23" s="97"/>
      <c r="O23" s="54"/>
      <c r="P23" s="55"/>
    </row>
    <row r="24" customFormat="false" ht="15" hidden="false" customHeight="false" outlineLevel="0" collapsed="false">
      <c r="B24" s="56"/>
      <c r="C24" s="16"/>
      <c r="D24" s="16"/>
      <c r="E24" s="16"/>
      <c r="F24" s="58"/>
      <c r="M24" s="52"/>
      <c r="N24" s="97"/>
      <c r="O24" s="54"/>
      <c r="P24" s="55"/>
    </row>
    <row r="25" customFormat="false" ht="15" hidden="false" customHeight="false" outlineLevel="0" collapsed="false">
      <c r="B25" s="56"/>
      <c r="C25" s="16"/>
      <c r="D25" s="16"/>
      <c r="E25" s="16"/>
      <c r="F25" s="58"/>
      <c r="M25" s="64"/>
      <c r="N25" s="98"/>
      <c r="O25" s="66"/>
      <c r="P25" s="63"/>
    </row>
    <row r="26" customFormat="false" ht="15" hidden="false" customHeight="false" outlineLevel="0" collapsed="false">
      <c r="B26" s="56"/>
      <c r="C26" s="16"/>
      <c r="D26" s="16"/>
      <c r="E26" s="16"/>
      <c r="F26" s="58"/>
    </row>
    <row r="27" customFormat="false" ht="15" hidden="false" customHeight="false" outlineLevel="0" collapsed="false">
      <c r="B27" s="56"/>
      <c r="C27" s="16"/>
      <c r="D27" s="16"/>
      <c r="E27" s="16"/>
      <c r="F27" s="58"/>
    </row>
    <row r="28" customFormat="false" ht="15" hidden="false" customHeight="false" outlineLevel="0" collapsed="false">
      <c r="B28" s="56"/>
      <c r="C28" s="16"/>
      <c r="D28" s="16"/>
      <c r="E28" s="16"/>
      <c r="F28" s="58"/>
    </row>
    <row r="29" customFormat="false" ht="15" hidden="false" customHeight="false" outlineLevel="0" collapsed="false">
      <c r="B29" s="56"/>
      <c r="C29" s="16"/>
      <c r="D29" s="16"/>
      <c r="E29" s="16"/>
      <c r="F29" s="58"/>
    </row>
    <row r="30" customFormat="false" ht="15" hidden="false" customHeight="false" outlineLevel="0" collapsed="false">
      <c r="B30" s="56"/>
      <c r="C30" s="16"/>
      <c r="D30" s="16"/>
      <c r="E30" s="16"/>
      <c r="F30" s="58"/>
    </row>
    <row r="31" customFormat="false" ht="15" hidden="false" customHeight="false" outlineLevel="0" collapsed="false">
      <c r="B31" s="56"/>
      <c r="C31" s="16"/>
      <c r="D31" s="16"/>
      <c r="E31" s="16"/>
      <c r="F31" s="58"/>
    </row>
    <row r="32" customFormat="false" ht="15" hidden="false" customHeight="false" outlineLevel="0" collapsed="false">
      <c r="B32" s="67"/>
      <c r="C32" s="33"/>
      <c r="D32" s="33"/>
      <c r="E32" s="33"/>
      <c r="F32" s="68"/>
    </row>
    <row r="35" customFormat="false" ht="15" hidden="false" customHeight="false" outlineLevel="0" collapsed="false">
      <c r="B35" s="69" t="s">
        <v>64</v>
      </c>
      <c r="C35" s="70" t="s">
        <v>65</v>
      </c>
      <c r="D35" s="71" t="n">
        <f aca="false">SUMIF($D$11:$D$32,C35,$F$11:$F$32)</f>
        <v>0</v>
      </c>
      <c r="H35" s="72" t="s">
        <v>66</v>
      </c>
      <c r="I35" s="71" t="n">
        <f aca="false">SUMIF($I$11:$I$22,H35,$K$11:$K$22)</f>
        <v>0</v>
      </c>
    </row>
    <row r="36" customFormat="false" ht="15" hidden="false" customHeight="false" outlineLevel="0" collapsed="false">
      <c r="B36" s="73" t="n">
        <f aca="false">SUM(D35:D39)</f>
        <v>0</v>
      </c>
      <c r="C36" s="74" t="s">
        <v>67</v>
      </c>
      <c r="D36" s="75" t="n">
        <f aca="false">SUMIF($D$11:$D$32,C36,$F$11:$F$32)</f>
        <v>0</v>
      </c>
      <c r="H36" s="76" t="s">
        <v>35</v>
      </c>
      <c r="I36" s="75" t="n">
        <f aca="false">SUMIF($I$11:$I$22,H36,$K$11:$K$22)</f>
        <v>0</v>
      </c>
    </row>
    <row r="37" customFormat="false" ht="15" hidden="false" customHeight="false" outlineLevel="0" collapsed="false">
      <c r="C37" s="74" t="s">
        <v>68</v>
      </c>
      <c r="D37" s="75" t="n">
        <f aca="false">SUMIF($D$11:$D$32,C37,$F$11:$F$32)</f>
        <v>0</v>
      </c>
      <c r="H37" s="76" t="s">
        <v>69</v>
      </c>
      <c r="I37" s="75" t="n">
        <f aca="false">SUMIF($I$11:$I$22,H37,$K$11:$K$22)</f>
        <v>0</v>
      </c>
    </row>
    <row r="38" customFormat="false" ht="15" hidden="false" customHeight="false" outlineLevel="0" collapsed="false">
      <c r="C38" s="74" t="s">
        <v>70</v>
      </c>
      <c r="D38" s="75" t="n">
        <f aca="false">SUMIF($D$11:$D$32,C38,$F$11:$F$32)</f>
        <v>0</v>
      </c>
      <c r="H38" s="76" t="s">
        <v>71</v>
      </c>
      <c r="I38" s="75" t="n">
        <f aca="false">SUMIF($I$11:$I$22,H38,$K$11:$K$22)</f>
        <v>0</v>
      </c>
    </row>
    <row r="39" customFormat="false" ht="15" hidden="false" customHeight="false" outlineLevel="0" collapsed="false">
      <c r="C39" s="77"/>
      <c r="D39" s="78" t="n">
        <f aca="false">SUMIF($D$11:$D$32,C39,$F$11:$F$32)</f>
        <v>0</v>
      </c>
      <c r="H39" s="76" t="s">
        <v>49</v>
      </c>
      <c r="I39" s="75" t="n">
        <f aca="false">SUMIF($I$11:$I$22,H39,$K$11:$K$22)</f>
        <v>0</v>
      </c>
    </row>
    <row r="40" customFormat="false" ht="15" hidden="false" customHeight="false" outlineLevel="0" collapsed="false">
      <c r="C40" s="79"/>
      <c r="D40" s="80"/>
      <c r="H40" s="76" t="s">
        <v>72</v>
      </c>
      <c r="I40" s="75" t="n">
        <f aca="false">SUMIF($I$11:$I$22,H40,$K$11:$K$22)</f>
        <v>0</v>
      </c>
    </row>
    <row r="41" customFormat="false" ht="15" hidden="false" customHeight="false" outlineLevel="0" collapsed="false">
      <c r="B41" s="69" t="s">
        <v>50</v>
      </c>
      <c r="C41" s="70" t="s">
        <v>73</v>
      </c>
      <c r="D41" s="71" t="n">
        <f aca="false">SUMIF($D$11:$D$32,C41,$F$11:$F$32)</f>
        <v>0</v>
      </c>
      <c r="H41" s="76" t="s">
        <v>74</v>
      </c>
      <c r="I41" s="75" t="n">
        <f aca="false">SUMIF($I$11:$I$22,H41,$K$11:$K$22)</f>
        <v>0</v>
      </c>
    </row>
    <row r="42" customFormat="false" ht="15" hidden="false" customHeight="false" outlineLevel="0" collapsed="false">
      <c r="B42" s="73" t="n">
        <f aca="false">SUBTOTAL(9,D41:D48)</f>
        <v>0</v>
      </c>
      <c r="C42" s="74" t="s">
        <v>75</v>
      </c>
      <c r="D42" s="75" t="n">
        <f aca="false">SUMIF($D$11:$D$32,C42,$F$11:$F$32)</f>
        <v>0</v>
      </c>
      <c r="H42" s="76" t="s">
        <v>42</v>
      </c>
      <c r="I42" s="75" t="n">
        <f aca="false">SUMIF($I$11:$I$22,H42,$K$11:$K$22)</f>
        <v>0</v>
      </c>
    </row>
    <row r="43" customFormat="false" ht="15" hidden="false" customHeight="false" outlineLevel="0" collapsed="false">
      <c r="C43" s="74" t="s">
        <v>76</v>
      </c>
      <c r="D43" s="75" t="n">
        <f aca="false">SUMIF($D$11:$D$32,C43,$F$11:$F$32)</f>
        <v>0</v>
      </c>
      <c r="H43" s="76" t="s">
        <v>77</v>
      </c>
      <c r="I43" s="75" t="n">
        <f aca="false">SUMIF($I$11:$I$22,H43,$K$11:$K$22)</f>
        <v>0</v>
      </c>
    </row>
    <row r="44" customFormat="false" ht="15" hidden="false" customHeight="false" outlineLevel="0" collapsed="false">
      <c r="C44" s="74" t="s">
        <v>78</v>
      </c>
      <c r="D44" s="75" t="n">
        <f aca="false">SUMIF($D$11:$D$32,C44,$F$11:$F$32)</f>
        <v>0</v>
      </c>
      <c r="H44" s="76" t="s">
        <v>79</v>
      </c>
      <c r="I44" s="75" t="n">
        <f aca="false">SUMIF($I$11:$I$22,H44,$K$11:$K$22)</f>
        <v>0</v>
      </c>
    </row>
    <row r="45" customFormat="false" ht="15" hidden="false" customHeight="false" outlineLevel="0" collapsed="false">
      <c r="C45" s="74" t="s">
        <v>80</v>
      </c>
      <c r="D45" s="75" t="n">
        <f aca="false">SUMIF($D$11:$D$32,C45,$F$11:$F$32)</f>
        <v>0</v>
      </c>
      <c r="H45" s="81"/>
      <c r="I45" s="78" t="n">
        <f aca="false">SUMIF($I$11:$I$22,H45,$K$11:$K$22)</f>
        <v>0</v>
      </c>
    </row>
    <row r="46" customFormat="false" ht="15" hidden="false" customHeight="false" outlineLevel="0" collapsed="false">
      <c r="C46" s="74" t="s">
        <v>51</v>
      </c>
      <c r="D46" s="75" t="n">
        <f aca="false">SUMIF($D$11:$D$32,C46,$F$11:$F$32)</f>
        <v>0</v>
      </c>
    </row>
    <row r="47" customFormat="false" ht="15" hidden="false" customHeight="false" outlineLevel="0" collapsed="false">
      <c r="C47" s="82"/>
      <c r="D47" s="83" t="n">
        <f aca="false">SUMIF($D$11:$D$32,C47,$F$11:$F$32)</f>
        <v>0</v>
      </c>
    </row>
    <row r="48" customFormat="false" ht="15" hidden="false" customHeight="false" outlineLevel="0" collapsed="false">
      <c r="C48" s="77"/>
      <c r="D48" s="78" t="n">
        <f aca="false">SUMIF($D$11:$D$32,C48,$F$11:$F$32)</f>
        <v>0</v>
      </c>
    </row>
    <row r="49" customFormat="false" ht="15" hidden="false" customHeight="false" outlineLevel="0" collapsed="false">
      <c r="D49" s="80"/>
    </row>
    <row r="50" customFormat="false" ht="15" hidden="false" customHeight="false" outlineLevel="0" collapsed="false">
      <c r="B50" s="69" t="s">
        <v>32</v>
      </c>
      <c r="C50" s="70" t="s">
        <v>81</v>
      </c>
      <c r="D50" s="71" t="n">
        <f aca="false">SUMIF($D$11:$D$32,C50,$F$11:$F$32)</f>
        <v>0</v>
      </c>
    </row>
    <row r="51" customFormat="false" ht="15" hidden="false" customHeight="false" outlineLevel="0" collapsed="false">
      <c r="B51" s="73" t="n">
        <f aca="false">SUM(D50:D56)</f>
        <v>0</v>
      </c>
      <c r="C51" s="74" t="s">
        <v>57</v>
      </c>
      <c r="D51" s="75" t="n">
        <f aca="false">SUMIF($D$11:$D$32,C51,$F$11:$F$32)</f>
        <v>0</v>
      </c>
    </row>
    <row r="52" customFormat="false" ht="15" hidden="false" customHeight="false" outlineLevel="0" collapsed="false">
      <c r="C52" s="74" t="s">
        <v>82</v>
      </c>
      <c r="D52" s="75" t="n">
        <f aca="false">SUMIF($D$11:$D$32,C52,$F$11:$F$32)</f>
        <v>0</v>
      </c>
    </row>
    <row r="53" customFormat="false" ht="15" hidden="false" customHeight="false" outlineLevel="0" collapsed="false">
      <c r="C53" s="74" t="s">
        <v>33</v>
      </c>
      <c r="D53" s="75" t="n">
        <f aca="false">SUMIF($D$11:$D$32,C53,$F$11:$F$32)</f>
        <v>0</v>
      </c>
    </row>
    <row r="54" customFormat="false" ht="15" hidden="false" customHeight="false" outlineLevel="0" collapsed="false">
      <c r="C54" s="74" t="s">
        <v>83</v>
      </c>
      <c r="D54" s="75" t="n">
        <f aca="false">SUMIF($D$11:$D$32,C54,$F$11:$F$32)</f>
        <v>0</v>
      </c>
    </row>
    <row r="55" customFormat="false" ht="15" hidden="false" customHeight="false" outlineLevel="0" collapsed="false">
      <c r="C55" s="74" t="s">
        <v>59</v>
      </c>
      <c r="D55" s="75" t="n">
        <f aca="false">SUMIF($D$11:$D$32,C55,$F$11:$F$32)</f>
        <v>0</v>
      </c>
    </row>
    <row r="56" customFormat="false" ht="15" hidden="false" customHeight="false" outlineLevel="0" collapsed="false">
      <c r="C56" s="64"/>
      <c r="D56" s="78" t="n">
        <f aca="false">SUMIF($D$11:$D$32,C56,$F$11:$F$32)</f>
        <v>0</v>
      </c>
    </row>
    <row r="57" customFormat="false" ht="15" hidden="false" customHeight="false" outlineLevel="0" collapsed="false">
      <c r="D57" s="80"/>
    </row>
    <row r="58" customFormat="false" ht="15" hidden="false" customHeight="false" outlineLevel="0" collapsed="false">
      <c r="B58" s="69" t="s">
        <v>39</v>
      </c>
      <c r="C58" s="70" t="s">
        <v>84</v>
      </c>
      <c r="D58" s="71" t="n">
        <f aca="false">SUMIF($D$11:$D$32,C58,$F$11:$F$32)</f>
        <v>0</v>
      </c>
    </row>
    <row r="59" customFormat="false" ht="15" hidden="false" customHeight="false" outlineLevel="0" collapsed="false">
      <c r="B59" s="73" t="n">
        <f aca="false">SUM(D58:D64)</f>
        <v>0</v>
      </c>
      <c r="C59" s="74" t="s">
        <v>40</v>
      </c>
      <c r="D59" s="75" t="n">
        <f aca="false">SUMIF($D$11:$D$32,C59,$F$11:$F$32)</f>
        <v>0</v>
      </c>
    </row>
    <row r="60" customFormat="false" ht="15" hidden="false" customHeight="false" outlineLevel="0" collapsed="false">
      <c r="C60" s="74" t="s">
        <v>85</v>
      </c>
      <c r="D60" s="75" t="n">
        <f aca="false">SUMIF($D$11:$D$32,C60,$F$11:$F$32)</f>
        <v>0</v>
      </c>
    </row>
    <row r="61" customFormat="false" ht="15" hidden="false" customHeight="false" outlineLevel="0" collapsed="false">
      <c r="C61" s="74" t="s">
        <v>86</v>
      </c>
      <c r="D61" s="75" t="n">
        <f aca="false">SUMIF($D$11:$D$32,C61,$F$11:$F$32)</f>
        <v>0</v>
      </c>
    </row>
    <row r="62" customFormat="false" ht="15" hidden="false" customHeight="false" outlineLevel="0" collapsed="false">
      <c r="C62" s="74" t="s">
        <v>47</v>
      </c>
      <c r="D62" s="75" t="n">
        <f aca="false">SUMIF($D$11:$D$32,C62,$F$11:$F$32)</f>
        <v>0</v>
      </c>
    </row>
    <row r="63" customFormat="false" ht="15" hidden="false" customHeight="false" outlineLevel="0" collapsed="false">
      <c r="C63" s="74" t="s">
        <v>87</v>
      </c>
      <c r="D63" s="75" t="n">
        <f aca="false">SUMIF($D$11:$D$32,C63,$F$11:$F$32)</f>
        <v>0</v>
      </c>
    </row>
    <row r="64" customFormat="false" ht="15" hidden="false" customHeight="false" outlineLevel="0" collapsed="false">
      <c r="C64" s="64"/>
      <c r="D64" s="78" t="n">
        <f aca="false">SUMIF($D$11:$D$32,C64,$F$11:$F$32)</f>
        <v>0</v>
      </c>
    </row>
    <row r="65" customFormat="false" ht="15" hidden="false" customHeight="false" outlineLevel="0" collapsed="false">
      <c r="D65" s="80"/>
    </row>
    <row r="66" customFormat="false" ht="15" hidden="false" customHeight="false" outlineLevel="0" collapsed="false">
      <c r="B66" s="69" t="s">
        <v>88</v>
      </c>
      <c r="C66" s="70" t="s">
        <v>89</v>
      </c>
      <c r="D66" s="71" t="n">
        <f aca="false">SUMIF($D$11:$D$32,C66,$F$11:$F$32)</f>
        <v>0</v>
      </c>
    </row>
    <row r="67" customFormat="false" ht="15" hidden="false" customHeight="false" outlineLevel="0" collapsed="false">
      <c r="B67" s="73" t="n">
        <f aca="false">SUM(D66:D72)</f>
        <v>0</v>
      </c>
      <c r="C67" s="74" t="s">
        <v>90</v>
      </c>
      <c r="D67" s="75" t="n">
        <f aca="false">SUMIF($D$11:$D$32,C67,$F$11:$F$32)</f>
        <v>0</v>
      </c>
    </row>
    <row r="68" customFormat="false" ht="15" hidden="false" customHeight="false" outlineLevel="0" collapsed="false">
      <c r="C68" s="74" t="s">
        <v>91</v>
      </c>
      <c r="D68" s="75" t="n">
        <f aca="false">SUMIF($D$11:$D$32,C68,$F$11:$F$32)</f>
        <v>0</v>
      </c>
    </row>
    <row r="69" customFormat="false" ht="15" hidden="false" customHeight="false" outlineLevel="0" collapsed="false">
      <c r="C69" s="74" t="s">
        <v>92</v>
      </c>
      <c r="D69" s="75" t="n">
        <f aca="false">SUMIF($D$11:$D$32,C69,$F$11:$F$32)</f>
        <v>0</v>
      </c>
    </row>
    <row r="70" customFormat="false" ht="15" hidden="false" customHeight="false" outlineLevel="0" collapsed="false">
      <c r="C70" s="74" t="s">
        <v>93</v>
      </c>
      <c r="D70" s="75" t="n">
        <f aca="false">SUMIF($D$11:$D$32,C70,$F$11:$F$32)</f>
        <v>0</v>
      </c>
    </row>
    <row r="71" customFormat="false" ht="15" hidden="false" customHeight="false" outlineLevel="0" collapsed="false">
      <c r="C71" s="74" t="s">
        <v>94</v>
      </c>
      <c r="D71" s="75" t="n">
        <f aca="false">SUMIF($D$11:$D$32,C71,$F$11:$F$32)</f>
        <v>0</v>
      </c>
    </row>
    <row r="72" customFormat="false" ht="15" hidden="false" customHeight="false" outlineLevel="0" collapsed="false">
      <c r="C72" s="64"/>
      <c r="D72" s="78" t="n">
        <f aca="false">SUMIF($D$11:$D$32,C72,$F$11:$F$32)</f>
        <v>0</v>
      </c>
    </row>
    <row r="73" customFormat="false" ht="15" hidden="false" customHeight="false" outlineLevel="0" collapsed="false">
      <c r="D73" s="80"/>
    </row>
    <row r="74" customFormat="false" ht="15" hidden="false" customHeight="false" outlineLevel="0" collapsed="false">
      <c r="B74" s="69" t="s">
        <v>77</v>
      </c>
      <c r="C74" s="70" t="s">
        <v>95</v>
      </c>
      <c r="D74" s="71" t="n">
        <f aca="false">SUMIF($D$11:$D$32,C74,$F$11:$F$32)</f>
        <v>0</v>
      </c>
    </row>
    <row r="75" customFormat="false" ht="15" hidden="false" customHeight="false" outlineLevel="0" collapsed="false">
      <c r="B75" s="73" t="n">
        <f aca="false">SUM(D74:D80)</f>
        <v>0</v>
      </c>
      <c r="C75" s="74" t="s">
        <v>96</v>
      </c>
      <c r="D75" s="75" t="n">
        <f aca="false">SUMIF($D$11:$D$32,C75,$F$11:$F$32)</f>
        <v>0</v>
      </c>
    </row>
    <row r="76" customFormat="false" ht="15" hidden="false" customHeight="false" outlineLevel="0" collapsed="false">
      <c r="C76" s="74" t="s">
        <v>97</v>
      </c>
      <c r="D76" s="75" t="n">
        <f aca="false">SUMIF($D$11:$D$32,C76,$F$11:$F$32)</f>
        <v>0</v>
      </c>
    </row>
    <row r="77" customFormat="false" ht="15" hidden="false" customHeight="false" outlineLevel="0" collapsed="false">
      <c r="C77" s="74" t="s">
        <v>98</v>
      </c>
      <c r="D77" s="75" t="n">
        <f aca="false">SUMIF($D$11:$D$32,C77,$F$11:$F$32)</f>
        <v>0</v>
      </c>
    </row>
    <row r="78" customFormat="false" ht="15" hidden="false" customHeight="false" outlineLevel="0" collapsed="false">
      <c r="C78" s="74"/>
      <c r="D78" s="75" t="n">
        <f aca="false">SUMIF($D$11:$D$32,C78,$F$11:$F$32)</f>
        <v>0</v>
      </c>
    </row>
    <row r="79" customFormat="false" ht="15" hidden="false" customHeight="false" outlineLevel="0" collapsed="false">
      <c r="C79" s="74"/>
      <c r="D79" s="75" t="n">
        <f aca="false">SUMIF($D$11:$D$32,C79,$F$11:$F$32)</f>
        <v>0</v>
      </c>
    </row>
    <row r="80" customFormat="false" ht="15" hidden="false" customHeight="false" outlineLevel="0" collapsed="false">
      <c r="C80" s="64"/>
      <c r="D80" s="78" t="n">
        <f aca="false">SUMIF($D$11:$D$32,C80,$F$11:$F$32)</f>
        <v>0</v>
      </c>
    </row>
    <row r="81" customFormat="false" ht="15" hidden="false" customHeight="false" outlineLevel="0" collapsed="false">
      <c r="D81" s="80"/>
    </row>
    <row r="82" customFormat="false" ht="15" hidden="false" customHeight="false" outlineLevel="0" collapsed="false">
      <c r="B82" s="69" t="s">
        <v>99</v>
      </c>
      <c r="C82" s="70" t="s">
        <v>100</v>
      </c>
      <c r="D82" s="71" t="n">
        <f aca="false">SUMIF($D$11:$D$32,C82,$F$11:$F$32)</f>
        <v>0</v>
      </c>
    </row>
    <row r="83" customFormat="false" ht="15" hidden="false" customHeight="false" outlineLevel="0" collapsed="false">
      <c r="B83" s="73" t="n">
        <f aca="false">SUM(D82:D88)</f>
        <v>0</v>
      </c>
      <c r="C83" s="74" t="s">
        <v>101</v>
      </c>
      <c r="D83" s="75" t="n">
        <f aca="false">SUMIF($D$11:$D$32,C83,$F$11:$F$32)</f>
        <v>0</v>
      </c>
    </row>
    <row r="84" customFormat="false" ht="15" hidden="false" customHeight="false" outlineLevel="0" collapsed="false">
      <c r="C84" s="74" t="s">
        <v>102</v>
      </c>
      <c r="D84" s="75" t="n">
        <f aca="false">SUMIF($D$11:$D$32,C84,$F$11:$F$32)</f>
        <v>0</v>
      </c>
    </row>
    <row r="85" customFormat="false" ht="15" hidden="false" customHeight="false" outlineLevel="0" collapsed="false">
      <c r="C85" s="74" t="s">
        <v>103</v>
      </c>
      <c r="D85" s="75" t="n">
        <f aca="false">SUMIF($D$11:$D$32,C85,$F$11:$F$32)</f>
        <v>0</v>
      </c>
    </row>
    <row r="86" customFormat="false" ht="15" hidden="false" customHeight="false" outlineLevel="0" collapsed="false">
      <c r="C86" s="74" t="s">
        <v>104</v>
      </c>
      <c r="D86" s="75" t="n">
        <f aca="false">SUMIF($D$11:$D$32,C86,$F$11:$F$32)</f>
        <v>0</v>
      </c>
    </row>
    <row r="87" customFormat="false" ht="15" hidden="false" customHeight="false" outlineLevel="0" collapsed="false">
      <c r="C87" s="74" t="s">
        <v>105</v>
      </c>
      <c r="D87" s="75" t="n">
        <f aca="false">SUMIF($D$11:$D$32,C87,$F$11:$F$32)</f>
        <v>0</v>
      </c>
    </row>
    <row r="88" customFormat="false" ht="15" hidden="false" customHeight="false" outlineLevel="0" collapsed="false">
      <c r="C88" s="64"/>
      <c r="D88" s="78" t="n">
        <f aca="false">SUMIF($D$11:$D$32,C88,$F$11:$F$32)</f>
        <v>0</v>
      </c>
    </row>
    <row r="90" customFormat="false" ht="15" hidden="false" customHeight="false" outlineLevel="0" collapsed="false">
      <c r="B90" s="69" t="s">
        <v>79</v>
      </c>
      <c r="C90" s="70"/>
      <c r="D90" s="71" t="n">
        <f aca="false">SUMIF(C11:C32,B90,F11:F32)</f>
        <v>0</v>
      </c>
    </row>
  </sheetData>
  <mergeCells count="3">
    <mergeCell ref="H2:K2"/>
    <mergeCell ref="B9:F9"/>
    <mergeCell ref="H9:K9"/>
  </mergeCells>
  <dataValidations count="3">
    <dataValidation allowBlank="true" errorStyle="stop" operator="between" showDropDown="false" showErrorMessage="true" showInputMessage="true" sqref="D11:D32" type="list">
      <formula1>INDIRECT(C11)</formula1>
      <formula2>0</formula2>
    </dataValidation>
    <dataValidation allowBlank="true" errorStyle="stop" operator="between" showDropDown="false" showErrorMessage="true" showInputMessage="true" sqref="I11:I22" type="list">
      <formula1>Modelo!$R$3:$R$14</formula1>
      <formula2>0</formula2>
    </dataValidation>
    <dataValidation allowBlank="true" errorStyle="stop" operator="between" showDropDown="false" showErrorMessage="true" showInputMessage="true" sqref="C11:C32" type="list">
      <formula1>Modelo!$P$3:$P$11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497B0"/>
    <pageSetUpPr fitToPage="false"/>
  </sheetPr>
  <dimension ref="B1:O83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D12" activeCellId="0" sqref="D1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.15"/>
    <col collapsed="false" customWidth="true" hidden="false" outlineLevel="0" max="2" min="2" style="99" width="21.29"/>
    <col collapsed="false" customWidth="true" hidden="false" outlineLevel="0" max="3" min="3" style="100" width="23.42"/>
    <col collapsed="false" customWidth="true" hidden="false" outlineLevel="0" max="5" min="4" style="100" width="14.14"/>
    <col collapsed="false" customWidth="true" hidden="false" outlineLevel="0" max="6" min="6" style="100" width="19.42"/>
    <col collapsed="false" customWidth="true" hidden="false" outlineLevel="0" max="7" min="7" style="100" width="14.57"/>
    <col collapsed="false" customWidth="true" hidden="false" outlineLevel="0" max="8" min="8" style="100" width="14.14"/>
    <col collapsed="false" customWidth="true" hidden="false" outlineLevel="0" max="9" min="9" style="100" width="16"/>
    <col collapsed="false" customWidth="true" hidden="false" outlineLevel="0" max="10" min="10" style="100" width="17.86"/>
    <col collapsed="false" customWidth="true" hidden="false" outlineLevel="0" max="11" min="11" style="100" width="14.14"/>
    <col collapsed="false" customWidth="true" hidden="false" outlineLevel="0" max="12" min="12" style="100" width="20.14"/>
    <col collapsed="false" customWidth="true" hidden="false" outlineLevel="0" max="13" min="13" style="100" width="22"/>
    <col collapsed="false" customWidth="true" hidden="false" outlineLevel="0" max="14" min="14" style="100" width="14.14"/>
    <col collapsed="false" customWidth="true" hidden="false" outlineLevel="0" max="15" min="15" style="1" width="15.29"/>
    <col collapsed="false" customWidth="true" hidden="false" outlineLevel="0" max="16" min="16" style="1" width="19.57"/>
    <col collapsed="false" customWidth="true" hidden="false" outlineLevel="0" max="17" min="17" style="1" width="13.15"/>
  </cols>
  <sheetData>
    <row r="1" customFormat="false" ht="14.25" hidden="false" customHeight="true" outlineLevel="0" collapsed="false"/>
    <row r="2" customFormat="false" ht="15" hidden="false" customHeight="false" outlineLevel="0" collapsed="false">
      <c r="B2" s="101" t="s">
        <v>208</v>
      </c>
      <c r="C2" s="102" t="s">
        <v>209</v>
      </c>
      <c r="D2" s="103" t="s">
        <v>106</v>
      </c>
      <c r="E2" s="103" t="s">
        <v>210</v>
      </c>
      <c r="F2" s="103" t="s">
        <v>211</v>
      </c>
      <c r="G2" s="103" t="s">
        <v>212</v>
      </c>
      <c r="H2" s="103" t="s">
        <v>213</v>
      </c>
      <c r="I2" s="103" t="s">
        <v>214</v>
      </c>
      <c r="J2" s="103" t="s">
        <v>215</v>
      </c>
      <c r="K2" s="103" t="s">
        <v>216</v>
      </c>
      <c r="L2" s="103" t="s">
        <v>217</v>
      </c>
      <c r="M2" s="103" t="s">
        <v>218</v>
      </c>
      <c r="N2" s="104" t="s">
        <v>219</v>
      </c>
      <c r="O2" s="104" t="s">
        <v>220</v>
      </c>
    </row>
    <row r="3" customFormat="false" ht="15" hidden="false" customHeight="false" outlineLevel="0" collapsed="false">
      <c r="B3" s="105" t="s">
        <v>25</v>
      </c>
      <c r="C3" s="106" t="n">
        <f aca="false">Jan!$F$3</f>
        <v>2246.57</v>
      </c>
      <c r="D3" s="107" t="n">
        <f aca="false">Fev!$F$3</f>
        <v>2281.55</v>
      </c>
      <c r="E3" s="107" t="n">
        <f aca="false">Mar!$F$3</f>
        <v>2080.77</v>
      </c>
      <c r="F3" s="107" t="n">
        <f aca="false">Abr!$F$3</f>
        <v>2679.04</v>
      </c>
      <c r="G3" s="107" t="n">
        <f aca="false">Mai!$F$3</f>
        <v>4523.74</v>
      </c>
      <c r="H3" s="107" t="n">
        <f aca="false">Jun!$F$3</f>
        <v>2309.7</v>
      </c>
      <c r="I3" s="107" t="n">
        <f aca="false">Jul!$F$3</f>
        <v>3291.25</v>
      </c>
      <c r="J3" s="107" t="n">
        <f aca="false">Ago!$F$3</f>
        <v>2737.14</v>
      </c>
      <c r="K3" s="107" t="n">
        <f aca="false">Set!$F$3</f>
        <v>1008.11</v>
      </c>
      <c r="L3" s="107" t="n">
        <f aca="false">Out!$F$3</f>
        <v>1008.11</v>
      </c>
      <c r="M3" s="107" t="n">
        <f aca="false">Nov!$F$3</f>
        <v>1008.11</v>
      </c>
      <c r="N3" s="108" t="n">
        <f aca="false">Dez!$F$3</f>
        <v>1008.11</v>
      </c>
      <c r="O3" s="108" t="n">
        <f aca="false">SUM(C3:N3)</f>
        <v>26182.2</v>
      </c>
    </row>
    <row r="4" customFormat="false" ht="15" hidden="false" customHeight="false" outlineLevel="0" collapsed="false">
      <c r="B4" s="109" t="s">
        <v>221</v>
      </c>
      <c r="C4" s="110" t="n">
        <f aca="false">Jan!$F$4</f>
        <v>568.02</v>
      </c>
      <c r="D4" s="110" t="n">
        <f aca="false">Fev!$F$4</f>
        <v>561.58</v>
      </c>
      <c r="E4" s="110" t="n">
        <f aca="false">Mar!$F$4</f>
        <v>1203.63</v>
      </c>
      <c r="F4" s="110" t="n">
        <f aca="false">Abr!$F$4</f>
        <v>723.11</v>
      </c>
      <c r="G4" s="110" t="n">
        <f aca="false">Mai!$F$4</f>
        <v>3935.01</v>
      </c>
      <c r="H4" s="110" t="n">
        <f aca="false">Jun!$F$4</f>
        <v>630</v>
      </c>
      <c r="I4" s="110" t="n">
        <f aca="false">Jul!$F$4</f>
        <v>1736.43</v>
      </c>
      <c r="J4" s="110" t="n">
        <f aca="false">Ago!$F$4</f>
        <v>312.67</v>
      </c>
      <c r="K4" s="110" t="n">
        <f aca="false">Set!$F$4</f>
        <v>0</v>
      </c>
      <c r="L4" s="110" t="n">
        <f aca="false">Out!$F$4</f>
        <v>0</v>
      </c>
      <c r="M4" s="110" t="n">
        <f aca="false">Nov!$F$4</f>
        <v>0</v>
      </c>
      <c r="N4" s="111" t="n">
        <f aca="false">Dez!$F$4</f>
        <v>0</v>
      </c>
      <c r="O4" s="111" t="n">
        <f aca="false">SUM(C4:N4)</f>
        <v>9670.45</v>
      </c>
    </row>
    <row r="5" customFormat="false" ht="15" hidden="false" customHeight="false" outlineLevel="0" collapsed="false">
      <c r="B5" s="109" t="s">
        <v>222</v>
      </c>
      <c r="C5" s="112" t="n">
        <f aca="false">Jan!$F$6</f>
        <v>337</v>
      </c>
      <c r="D5" s="112" t="n">
        <f aca="false">Fev!$F$6</f>
        <v>362.2</v>
      </c>
      <c r="E5" s="112" t="n">
        <f aca="false">Mar!$F$6</f>
        <v>434.6</v>
      </c>
      <c r="F5" s="112" t="n">
        <f aca="false">Abr!$F$6</f>
        <v>516.69</v>
      </c>
      <c r="G5" s="112" t="n">
        <f aca="false">Mai!$F$6</f>
        <v>597.03</v>
      </c>
      <c r="H5" s="112" t="n">
        <f aca="false">Jun!$F$6</f>
        <v>1391.7</v>
      </c>
      <c r="I5" s="112" t="n">
        <f aca="false">Jul!$F$6</f>
        <v>1357.68</v>
      </c>
      <c r="J5" s="112" t="n">
        <f aca="false">Ago!$F$6</f>
        <v>1416.36</v>
      </c>
      <c r="K5" s="112" t="n">
        <f aca="false">Set!$F$6</f>
        <v>0</v>
      </c>
      <c r="L5" s="112" t="n">
        <f aca="false">Out!$F$6</f>
        <v>0</v>
      </c>
      <c r="M5" s="112" t="n">
        <f aca="false">Nov!$F$6</f>
        <v>0</v>
      </c>
      <c r="N5" s="113" t="n">
        <f aca="false">Dez!$F$6</f>
        <v>0</v>
      </c>
      <c r="O5" s="113" t="n">
        <f aca="false">SUM(C5:N5)</f>
        <v>6413.26</v>
      </c>
    </row>
    <row r="6" customFormat="false" ht="15" hidden="false" customHeight="false" outlineLevel="0" collapsed="false">
      <c r="B6" s="109" t="s">
        <v>7</v>
      </c>
      <c r="C6" s="114" t="n">
        <f aca="false">Jan!$L$3</f>
        <v>0</v>
      </c>
      <c r="D6" s="114" t="n">
        <f aca="false">Fev!$L$3</f>
        <v>0</v>
      </c>
      <c r="E6" s="114" t="n">
        <f aca="false">Mar!$L$3</f>
        <v>0</v>
      </c>
      <c r="F6" s="114" t="n">
        <f aca="false">Abr!$L$3</f>
        <v>1343</v>
      </c>
      <c r="G6" s="114" t="n">
        <f aca="false">Mai!$L$3</f>
        <v>2503</v>
      </c>
      <c r="H6" s="114" t="n">
        <f aca="false">Jun!$L$3</f>
        <v>200</v>
      </c>
      <c r="I6" s="114" t="n">
        <f aca="false">Jul!$L$3</f>
        <v>809.19</v>
      </c>
      <c r="J6" s="114" t="n">
        <f aca="false">Ago!$L$3</f>
        <v>340</v>
      </c>
      <c r="K6" s="114" t="n">
        <f aca="false">Set!$L$3</f>
        <v>0</v>
      </c>
      <c r="L6" s="114" t="n">
        <f aca="false">Out!$L$3</f>
        <v>0</v>
      </c>
      <c r="M6" s="114" t="n">
        <f aca="false">Nov!$L$3</f>
        <v>0</v>
      </c>
      <c r="N6" s="115" t="n">
        <f aca="false">Dez!$L$3</f>
        <v>0</v>
      </c>
      <c r="O6" s="116" t="n">
        <f aca="false">SUM(C6:N6)</f>
        <v>5195.19</v>
      </c>
    </row>
    <row r="7" customFormat="false" ht="15" hidden="false" customHeight="false" outlineLevel="0" collapsed="false">
      <c r="B7" s="109" t="s">
        <v>223</v>
      </c>
      <c r="C7" s="117" t="n">
        <f aca="false">Jan!$L$4</f>
        <v>0</v>
      </c>
      <c r="D7" s="117" t="n">
        <f aca="false">Fev!$L$4</f>
        <v>0</v>
      </c>
      <c r="E7" s="117" t="n">
        <f aca="false">Mar!$L$4</f>
        <v>0</v>
      </c>
      <c r="F7" s="117" t="n">
        <f aca="false">Abr!$L$4</f>
        <v>983.93</v>
      </c>
      <c r="G7" s="117" t="n">
        <f aca="false">Mai!$L$4</f>
        <v>0</v>
      </c>
      <c r="H7" s="117" t="n">
        <f aca="false">Jun!$L$4</f>
        <v>0</v>
      </c>
      <c r="I7" s="117" t="n">
        <f aca="false">Jul!$L$4</f>
        <v>0</v>
      </c>
      <c r="J7" s="117" t="n">
        <f aca="false">Ago!$L$4</f>
        <v>522.75</v>
      </c>
      <c r="K7" s="117" t="n">
        <f aca="false">Set!$L$4</f>
        <v>0</v>
      </c>
      <c r="L7" s="117" t="n">
        <f aca="false">Out!$L$4</f>
        <v>0</v>
      </c>
      <c r="M7" s="117" t="n">
        <f aca="false">Nov!$L$4</f>
        <v>0</v>
      </c>
      <c r="N7" s="118" t="n">
        <f aca="false">Dez!$L$4</f>
        <v>0</v>
      </c>
      <c r="O7" s="119" t="n">
        <f aca="false">SUM(C7:N7)</f>
        <v>1506.68</v>
      </c>
    </row>
    <row r="8" customFormat="false" ht="15" hidden="false" customHeight="false" outlineLevel="0" collapsed="false">
      <c r="B8" s="109" t="s">
        <v>224</v>
      </c>
      <c r="C8" s="120" t="n">
        <f aca="false">C4+C5</f>
        <v>905.02</v>
      </c>
      <c r="D8" s="120" t="n">
        <f aca="false">D4+D5</f>
        <v>923.78</v>
      </c>
      <c r="E8" s="120" t="n">
        <f aca="false">E4+E5</f>
        <v>1638.23</v>
      </c>
      <c r="F8" s="120" t="n">
        <f aca="false">F4+F5</f>
        <v>1239.8</v>
      </c>
      <c r="G8" s="120" t="n">
        <f aca="false">G4+G5</f>
        <v>4532.04</v>
      </c>
      <c r="H8" s="120" t="n">
        <f aca="false">H4+H5</f>
        <v>2021.7</v>
      </c>
      <c r="I8" s="120" t="n">
        <f aca="false">I4+I5</f>
        <v>3094.11</v>
      </c>
      <c r="J8" s="120" t="n">
        <f aca="false">J4+J5</f>
        <v>1729.03</v>
      </c>
      <c r="K8" s="120" t="n">
        <f aca="false">K4+K5</f>
        <v>0</v>
      </c>
      <c r="L8" s="120" t="n">
        <f aca="false">L4+L5</f>
        <v>0</v>
      </c>
      <c r="M8" s="120" t="n">
        <f aca="false">M4+M5</f>
        <v>0</v>
      </c>
      <c r="N8" s="121" t="n">
        <f aca="false">N4+N5</f>
        <v>0</v>
      </c>
      <c r="O8" s="121" t="n">
        <f aca="false">SUM(C8:N8)</f>
        <v>16083.71</v>
      </c>
    </row>
    <row r="9" customFormat="false" ht="15" hidden="false" customHeight="false" outlineLevel="0" collapsed="false">
      <c r="B9" s="109" t="s">
        <v>107</v>
      </c>
      <c r="C9" s="122" t="n">
        <f aca="false">C3-C8</f>
        <v>1341.55</v>
      </c>
      <c r="D9" s="122" t="n">
        <f aca="false">D3-D8</f>
        <v>1357.77</v>
      </c>
      <c r="E9" s="122" t="n">
        <f aca="false">E3-E8</f>
        <v>442.54</v>
      </c>
      <c r="F9" s="122" t="n">
        <f aca="false">F3-F8</f>
        <v>1439.24</v>
      </c>
      <c r="G9" s="122" t="n">
        <f aca="false">G3-G8</f>
        <v>-8.29999999999927</v>
      </c>
      <c r="H9" s="122" t="n">
        <f aca="false">H3-H8</f>
        <v>288.000000000001</v>
      </c>
      <c r="I9" s="122" t="n">
        <f aca="false">I3-I8</f>
        <v>197.14</v>
      </c>
      <c r="J9" s="122" t="n">
        <f aca="false">J3-J8</f>
        <v>1008.11</v>
      </c>
      <c r="K9" s="122" t="n">
        <f aca="false">K3-K8</f>
        <v>1008.11</v>
      </c>
      <c r="L9" s="122" t="n">
        <f aca="false">L3-L8</f>
        <v>1008.11</v>
      </c>
      <c r="M9" s="122" t="n">
        <f aca="false">M3-M8</f>
        <v>1008.11</v>
      </c>
      <c r="N9" s="123" t="n">
        <f aca="false">N3-N8</f>
        <v>1008.11</v>
      </c>
      <c r="O9" s="123" t="n">
        <f aca="false">N9</f>
        <v>1008.11</v>
      </c>
    </row>
    <row r="10" customFormat="false" ht="15" hidden="false" customHeight="false" outlineLevel="0" collapsed="false">
      <c r="B10" s="124" t="s">
        <v>8</v>
      </c>
      <c r="C10" s="125" t="n">
        <f aca="false">Jan!D4</f>
        <v>103.33</v>
      </c>
      <c r="D10" s="125" t="n">
        <f aca="false">Fev!D4</f>
        <v>200</v>
      </c>
      <c r="E10" s="125" t="n">
        <f aca="false">Mar!D4</f>
        <v>0</v>
      </c>
      <c r="F10" s="125" t="n">
        <f aca="false">Abr!D4</f>
        <v>136.5</v>
      </c>
      <c r="G10" s="125" t="n">
        <f aca="false">Mai!D4</f>
        <v>20</v>
      </c>
      <c r="H10" s="125" t="n">
        <f aca="false">Jun!D4</f>
        <v>0</v>
      </c>
      <c r="I10" s="125" t="n">
        <f aca="false">Jul!D4</f>
        <v>366.25</v>
      </c>
      <c r="J10" s="125" t="n">
        <f aca="false">Ago!D4</f>
        <v>0</v>
      </c>
      <c r="K10" s="125" t="n">
        <f aca="false">Set!D4</f>
        <v>0</v>
      </c>
      <c r="L10" s="125" t="n">
        <f aca="false">Out!D4</f>
        <v>0</v>
      </c>
      <c r="M10" s="125" t="n">
        <f aca="false">Nov!D4</f>
        <v>0</v>
      </c>
      <c r="N10" s="126" t="n">
        <f aca="false">Dez!D4</f>
        <v>0</v>
      </c>
      <c r="O10" s="126" t="n">
        <f aca="false">SUM(C10:N10)</f>
        <v>826.08</v>
      </c>
    </row>
    <row r="12" customFormat="false" ht="6" hidden="false" customHeight="true" outlineLevel="0" collapsed="false"/>
    <row r="13" customFormat="false" ht="12" hidden="false" customHeight="true" outlineLevel="0" collapsed="false">
      <c r="L13" s="100" t="n">
        <f aca="false">12*25.82</f>
        <v>309.84</v>
      </c>
    </row>
    <row r="14" customFormat="false" ht="6" hidden="false" customHeight="true" outlineLevel="0" collapsed="false"/>
    <row r="15" customFormat="false" ht="15" hidden="false" customHeight="false" outlineLevel="0" collapsed="false">
      <c r="B15" s="101" t="s">
        <v>208</v>
      </c>
      <c r="C15" s="102" t="s">
        <v>209</v>
      </c>
      <c r="D15" s="103" t="s">
        <v>106</v>
      </c>
      <c r="E15" s="103" t="s">
        <v>210</v>
      </c>
      <c r="F15" s="103" t="s">
        <v>211</v>
      </c>
      <c r="G15" s="103" t="s">
        <v>212</v>
      </c>
      <c r="H15" s="103" t="s">
        <v>213</v>
      </c>
      <c r="I15" s="103" t="s">
        <v>214</v>
      </c>
      <c r="J15" s="103" t="s">
        <v>215</v>
      </c>
      <c r="K15" s="103" t="s">
        <v>216</v>
      </c>
      <c r="L15" s="103" t="s">
        <v>217</v>
      </c>
      <c r="M15" s="103" t="s">
        <v>218</v>
      </c>
      <c r="N15" s="104" t="s">
        <v>219</v>
      </c>
      <c r="O15" s="104" t="s">
        <v>225</v>
      </c>
    </row>
    <row r="16" customFormat="false" ht="15" hidden="false" customHeight="false" outlineLevel="0" collapsed="false">
      <c r="B16" s="127" t="s">
        <v>64</v>
      </c>
      <c r="C16" s="128" t="n">
        <f aca="false">Jan!$B$36</f>
        <v>0</v>
      </c>
      <c r="D16" s="129" t="n">
        <f aca="false">Fev!$B$36</f>
        <v>0</v>
      </c>
      <c r="E16" s="128" t="n">
        <f aca="false">Mar!$B$36</f>
        <v>12</v>
      </c>
      <c r="F16" s="129" t="n">
        <f aca="false">Abr!$B$36</f>
        <v>79.46</v>
      </c>
      <c r="G16" s="128" t="n">
        <f aca="false">Mai!$B$36</f>
        <v>0</v>
      </c>
      <c r="H16" s="129" t="n">
        <f aca="false">Jun!$B$36</f>
        <v>0</v>
      </c>
      <c r="I16" s="128" t="n">
        <f aca="false">Jul!$B$36</f>
        <v>85.05</v>
      </c>
      <c r="J16" s="129" t="n">
        <f aca="false">Ago!$B$36</f>
        <v>0</v>
      </c>
      <c r="K16" s="128" t="n">
        <f aca="false">Set!$B$36</f>
        <v>0</v>
      </c>
      <c r="L16" s="129" t="n">
        <f aca="false">Out!$B$36</f>
        <v>0</v>
      </c>
      <c r="M16" s="128" t="n">
        <f aca="false">Nov!$B$36</f>
        <v>0</v>
      </c>
      <c r="N16" s="130" t="n">
        <f aca="false">Dez!$B$36</f>
        <v>0</v>
      </c>
      <c r="O16" s="131" t="n">
        <f aca="false">SUM(C16:N16)</f>
        <v>176.51</v>
      </c>
    </row>
    <row r="17" customFormat="false" ht="15" hidden="false" customHeight="false" outlineLevel="0" collapsed="false">
      <c r="B17" s="132" t="s">
        <v>50</v>
      </c>
      <c r="C17" s="133" t="n">
        <f aca="false">Jan!$B$42</f>
        <v>23.69</v>
      </c>
      <c r="D17" s="134" t="n">
        <f aca="false">Fev!$B$42</f>
        <v>39</v>
      </c>
      <c r="E17" s="133" t="n">
        <f aca="false">Mar!$B$42</f>
        <v>47.88</v>
      </c>
      <c r="F17" s="134" t="n">
        <f aca="false">Abr!$B$42</f>
        <v>190.31</v>
      </c>
      <c r="G17" s="133" t="n">
        <f aca="false">Mai!$B$42</f>
        <v>69.7</v>
      </c>
      <c r="H17" s="134" t="n">
        <f aca="false">Jun!$B$42</f>
        <v>42</v>
      </c>
      <c r="I17" s="133" t="n">
        <f aca="false">Jul!$B$42</f>
        <v>245.5</v>
      </c>
      <c r="J17" s="134" t="n">
        <f aca="false">Ago!$B$42</f>
        <v>0</v>
      </c>
      <c r="K17" s="133" t="n">
        <f aca="false">Set!$B$42</f>
        <v>0</v>
      </c>
      <c r="L17" s="134" t="n">
        <f aca="false">Out!$B$42</f>
        <v>0</v>
      </c>
      <c r="M17" s="133" t="n">
        <f aca="false">Nov!$B$42</f>
        <v>0</v>
      </c>
      <c r="N17" s="135" t="n">
        <f aca="false">Dez!$B$42</f>
        <v>0</v>
      </c>
      <c r="O17" s="136" t="n">
        <f aca="false">SUM(C17:N17)</f>
        <v>658.08</v>
      </c>
    </row>
    <row r="18" customFormat="false" ht="15" hidden="false" customHeight="false" outlineLevel="0" collapsed="false">
      <c r="B18" s="132" t="s">
        <v>32</v>
      </c>
      <c r="C18" s="133" t="n">
        <f aca="false">Jan!$B$51</f>
        <v>93.95</v>
      </c>
      <c r="D18" s="134" t="n">
        <f aca="false">Fev!B51</f>
        <v>226.24</v>
      </c>
      <c r="E18" s="133" t="n">
        <f aca="false">Mar!$B$51</f>
        <v>19.3</v>
      </c>
      <c r="F18" s="134" t="n">
        <f aca="false">Abr!$B$51</f>
        <v>153.2</v>
      </c>
      <c r="G18" s="133" t="n">
        <f aca="false">Mai!$B$51</f>
        <v>76.9</v>
      </c>
      <c r="H18" s="134" t="n">
        <f aca="false">Jun!$B$51</f>
        <v>0</v>
      </c>
      <c r="I18" s="133" t="n">
        <f aca="false">Jul!$B$51</f>
        <v>398.68</v>
      </c>
      <c r="J18" s="134" t="n">
        <f aca="false">Ago!$B$51</f>
        <v>265.82</v>
      </c>
      <c r="K18" s="133" t="n">
        <f aca="false">Set!$B$51</f>
        <v>0</v>
      </c>
      <c r="L18" s="134" t="n">
        <f aca="false">Out!$B$51</f>
        <v>0</v>
      </c>
      <c r="M18" s="133" t="n">
        <f aca="false">Nov!$B$51</f>
        <v>0</v>
      </c>
      <c r="N18" s="135" t="n">
        <f aca="false">Dez!$B$51</f>
        <v>0</v>
      </c>
      <c r="O18" s="136" t="n">
        <f aca="false">SUM(C18:N18)</f>
        <v>1234.09</v>
      </c>
    </row>
    <row r="19" customFormat="false" ht="15" hidden="false" customHeight="false" outlineLevel="0" collapsed="false">
      <c r="B19" s="132" t="s">
        <v>39</v>
      </c>
      <c r="C19" s="133" t="n">
        <f aca="false">Jan!$B$59</f>
        <v>72</v>
      </c>
      <c r="D19" s="134" t="n">
        <f aca="false">Fev!$B$59</f>
        <v>296.34</v>
      </c>
      <c r="E19" s="133" t="n">
        <f aca="false">Mar!$B$59</f>
        <v>210</v>
      </c>
      <c r="F19" s="134" t="n">
        <f aca="false">Abr!$B$59</f>
        <v>48.5</v>
      </c>
      <c r="G19" s="133" t="n">
        <f aca="false">Mai!$B$59</f>
        <v>48</v>
      </c>
      <c r="H19" s="134" t="n">
        <f aca="false">Jun!$B$59</f>
        <v>0</v>
      </c>
      <c r="I19" s="133" t="n">
        <f aca="false">Jul!$B$59</f>
        <v>823</v>
      </c>
      <c r="J19" s="134" t="n">
        <f aca="false">Ago!$B$59</f>
        <v>0</v>
      </c>
      <c r="K19" s="133" t="n">
        <f aca="false">Set!$B$59</f>
        <v>0</v>
      </c>
      <c r="L19" s="134" t="n">
        <f aca="false">Out!$B$59</f>
        <v>0</v>
      </c>
      <c r="M19" s="133" t="n">
        <f aca="false">Nov!$B$59</f>
        <v>0</v>
      </c>
      <c r="N19" s="135" t="n">
        <f aca="false">Dez!$B$59</f>
        <v>0</v>
      </c>
      <c r="O19" s="136" t="n">
        <f aca="false">SUM(C19:N19)</f>
        <v>1497.84</v>
      </c>
    </row>
    <row r="20" customFormat="false" ht="15" hidden="false" customHeight="false" outlineLevel="0" collapsed="false">
      <c r="B20" s="132" t="s">
        <v>88</v>
      </c>
      <c r="C20" s="133" t="n">
        <f aca="false">Jan!$B$67</f>
        <v>0</v>
      </c>
      <c r="D20" s="134" t="n">
        <f aca="false">Fev!$B$67</f>
        <v>0</v>
      </c>
      <c r="E20" s="133" t="n">
        <f aca="false">Mar!$B$67</f>
        <v>34.45</v>
      </c>
      <c r="F20" s="134" t="n">
        <f aca="false">Abr!$B$67</f>
        <v>0</v>
      </c>
      <c r="G20" s="133" t="n">
        <f aca="false">Mai!$B$67</f>
        <v>0</v>
      </c>
      <c r="H20" s="134" t="n">
        <f aca="false">Jun!$B$67</f>
        <v>0</v>
      </c>
      <c r="I20" s="133" t="n">
        <f aca="false">Jul!$B$67</f>
        <v>0</v>
      </c>
      <c r="J20" s="134" t="n">
        <f aca="false">Ago!$B$67</f>
        <v>0</v>
      </c>
      <c r="K20" s="133" t="n">
        <f aca="false">Set!$B$67</f>
        <v>0</v>
      </c>
      <c r="L20" s="134" t="n">
        <f aca="false">Out!$B$67</f>
        <v>0</v>
      </c>
      <c r="M20" s="133" t="n">
        <f aca="false">Nov!$B$67</f>
        <v>0</v>
      </c>
      <c r="N20" s="135" t="n">
        <f aca="false">Dez!$B$67</f>
        <v>0</v>
      </c>
      <c r="O20" s="136" t="n">
        <f aca="false">SUM(C20:N20)</f>
        <v>34.45</v>
      </c>
    </row>
    <row r="21" customFormat="false" ht="15" hidden="false" customHeight="false" outlineLevel="0" collapsed="false">
      <c r="B21" s="132" t="s">
        <v>77</v>
      </c>
      <c r="C21" s="133" t="n">
        <f aca="false">Jan!$B$75</f>
        <v>0</v>
      </c>
      <c r="D21" s="134" t="n">
        <f aca="false">Fev!$B$75</f>
        <v>0</v>
      </c>
      <c r="E21" s="133" t="n">
        <f aca="false">Mar!$B$75</f>
        <v>0</v>
      </c>
      <c r="F21" s="134" t="n">
        <f aca="false">Abr!$B$75</f>
        <v>0</v>
      </c>
      <c r="G21" s="133" t="n">
        <f aca="false">Mai!$B$75</f>
        <v>0</v>
      </c>
      <c r="H21" s="134" t="n">
        <f aca="false">Jun!$B$75</f>
        <v>0</v>
      </c>
      <c r="I21" s="133" t="n">
        <f aca="false">Jul!$B$75</f>
        <v>0</v>
      </c>
      <c r="J21" s="134" t="n">
        <f aca="false">Ago!$B$75</f>
        <v>0</v>
      </c>
      <c r="K21" s="133" t="n">
        <f aca="false">Set!$B$75</f>
        <v>0</v>
      </c>
      <c r="L21" s="134" t="n">
        <f aca="false">Out!$B$75</f>
        <v>0</v>
      </c>
      <c r="M21" s="133" t="n">
        <f aca="false">Nov!$B$75</f>
        <v>0</v>
      </c>
      <c r="N21" s="135" t="n">
        <f aca="false">Dez!$B$75</f>
        <v>0</v>
      </c>
      <c r="O21" s="136" t="n">
        <f aca="false">SUM(C21:N21)</f>
        <v>0</v>
      </c>
    </row>
    <row r="22" customFormat="false" ht="15" hidden="false" customHeight="false" outlineLevel="0" collapsed="false">
      <c r="B22" s="137" t="s">
        <v>79</v>
      </c>
      <c r="C22" s="133" t="n">
        <f aca="false">Jan!$D$90</f>
        <v>0</v>
      </c>
      <c r="D22" s="133" t="n">
        <f aca="false">Fev!$D$90</f>
        <v>0</v>
      </c>
      <c r="E22" s="133" t="n">
        <f aca="false">Mar!$D$90</f>
        <v>0</v>
      </c>
      <c r="F22" s="133" t="n">
        <f aca="false">Abr!$D$90</f>
        <v>201.64</v>
      </c>
      <c r="G22" s="133" t="n">
        <f aca="false">Mai!$D$90</f>
        <v>5548.69</v>
      </c>
      <c r="H22" s="133" t="n">
        <f aca="false">Jun!$D$90</f>
        <v>350</v>
      </c>
      <c r="I22" s="133" t="n">
        <f aca="false">Jul!$D$90</f>
        <v>0</v>
      </c>
      <c r="J22" s="133" t="n">
        <f aca="false">Ago!$D$90</f>
        <v>0</v>
      </c>
      <c r="K22" s="133" t="n">
        <f aca="false">Set!$D$90</f>
        <v>0</v>
      </c>
      <c r="L22" s="133" t="n">
        <f aca="false">Out!$D$90</f>
        <v>0</v>
      </c>
      <c r="M22" s="133" t="n">
        <f aca="false">Nov!$D$90</f>
        <v>0</v>
      </c>
      <c r="N22" s="133" t="n">
        <f aca="false">Dez!$D$90</f>
        <v>0</v>
      </c>
      <c r="O22" s="138"/>
    </row>
    <row r="23" customFormat="false" ht="15" hidden="false" customHeight="false" outlineLevel="0" collapsed="false">
      <c r="B23" s="139" t="s">
        <v>99</v>
      </c>
      <c r="C23" s="140" t="n">
        <f aca="false">Jan!$B$83</f>
        <v>0</v>
      </c>
      <c r="D23" s="141" t="n">
        <f aca="false">Fev!$B$83</f>
        <v>0</v>
      </c>
      <c r="E23" s="140" t="n">
        <f aca="false">Mar!$B$83</f>
        <v>880</v>
      </c>
      <c r="F23" s="141" t="n">
        <f aca="false">Abr!$B$83</f>
        <v>50</v>
      </c>
      <c r="G23" s="140" t="n">
        <f aca="false">Mai!$B$83</f>
        <v>0</v>
      </c>
      <c r="H23" s="141" t="n">
        <f aca="false">Jun!$B$83</f>
        <v>0</v>
      </c>
      <c r="I23" s="140" t="n">
        <f aca="false">Jul!$B$83</f>
        <v>0</v>
      </c>
      <c r="J23" s="141" t="n">
        <f aca="false">Ago!$B$83</f>
        <v>0</v>
      </c>
      <c r="K23" s="140" t="n">
        <f aca="false">Set!$B$83</f>
        <v>0</v>
      </c>
      <c r="L23" s="141" t="n">
        <f aca="false">Out!$B$83</f>
        <v>0</v>
      </c>
      <c r="M23" s="140" t="n">
        <f aca="false">Nov!$B$83</f>
        <v>0</v>
      </c>
      <c r="N23" s="142" t="n">
        <f aca="false">Dez!$B$83</f>
        <v>0</v>
      </c>
      <c r="O23" s="143" t="n">
        <f aca="false">SUM(C23:N23)</f>
        <v>930</v>
      </c>
    </row>
    <row r="27" customFormat="false" ht="15" hidden="false" customHeight="false" outlineLevel="0" collapsed="false">
      <c r="B27" s="69" t="s">
        <v>64</v>
      </c>
      <c r="C27" s="70" t="s">
        <v>65</v>
      </c>
      <c r="D27" s="71" t="n">
        <f aca="false">SUBTOTAL(9,Fev!D35,Fev!D35,Mar!D35,Abr!D35,Mai!D35,Jun!D35,Jul!D35,Ago!D35,Set!D35,Out!D35,Nov!D35,Dez!D35)</f>
        <v>45.21</v>
      </c>
    </row>
    <row r="28" customFormat="false" ht="15" hidden="false" customHeight="false" outlineLevel="0" collapsed="false">
      <c r="B28" s="73" t="n">
        <f aca="false">SUM(D27:D31)</f>
        <v>176.51</v>
      </c>
      <c r="C28" s="74" t="s">
        <v>67</v>
      </c>
      <c r="D28" s="75" t="n">
        <f aca="false">SUBTOTAL(9,Fev!D36,Fev!D36,Mar!D36,Abr!D36,Mai!D36,Jun!D36,Jul!D36,Ago!D36,Set!D36,Out!D36,Nov!D36,Dez!D36)</f>
        <v>131.3</v>
      </c>
      <c r="F28" s="72" t="s">
        <v>66</v>
      </c>
      <c r="G28" s="71" t="n">
        <f aca="false">SUBTOTAL(9,Jan!I35,Fev!I35,Mar!I35,Abr!I35,Mai!I35,Jun!I35,Jul!I35,Ago!I35,Set!I35,Out!I35,Nov!I35,Dez!I35)</f>
        <v>90</v>
      </c>
      <c r="I28" s="144" t="s">
        <v>226</v>
      </c>
      <c r="J28" s="144"/>
      <c r="K28" s="144"/>
      <c r="L28" s="144"/>
      <c r="M28" s="145" t="n">
        <f aca="false">SUM(L30:L44)-SUM(K30:K44)</f>
        <v>3332.14</v>
      </c>
    </row>
    <row r="29" customFormat="false" ht="15" hidden="false" customHeight="false" outlineLevel="0" collapsed="false">
      <c r="C29" s="74" t="s">
        <v>68</v>
      </c>
      <c r="D29" s="75" t="n">
        <f aca="false">SUBTOTAL(9,Fev!D37,Fev!D37,Mar!D37,Abr!D37,Mai!D37,Jun!D37,Jul!D37,Ago!D37,Set!D37,Out!D37,Nov!D37,Dez!D37)</f>
        <v>0</v>
      </c>
      <c r="F29" s="76" t="s">
        <v>35</v>
      </c>
      <c r="G29" s="75" t="n">
        <f aca="false">SUBTOTAL(9,Jan!I36,Fev!I36,Mar!I36,Abr!I36,Mai!I36,Jun!I36,Jul!I36,Ago!I36,Set!I36,Out!I36,Nov!I36,Dez!I36)</f>
        <v>397.6</v>
      </c>
      <c r="I29" s="146" t="s">
        <v>227</v>
      </c>
      <c r="J29" s="147" t="s">
        <v>228</v>
      </c>
      <c r="K29" s="147" t="s">
        <v>229</v>
      </c>
      <c r="L29" s="147" t="s">
        <v>230</v>
      </c>
      <c r="M29" s="148" t="s">
        <v>231</v>
      </c>
    </row>
    <row r="30" customFormat="false" ht="15" hidden="false" customHeight="false" outlineLevel="0" collapsed="false">
      <c r="C30" s="74" t="s">
        <v>70</v>
      </c>
      <c r="D30" s="75" t="n">
        <f aca="false">SUBTOTAL(9,Fev!D38,Fev!D38,Mar!D38,Abr!D38,Mai!D38,Jun!D38,Jul!D38,Ago!D38,Set!D38,Out!D38,Nov!D38,Dez!D38)</f>
        <v>0</v>
      </c>
      <c r="F30" s="76" t="s">
        <v>69</v>
      </c>
      <c r="G30" s="75" t="n">
        <f aca="false">SUBTOTAL(9,Jan!I37,Fev!I37,Mar!I37,Abr!I37,Mai!I37,Jun!I37,Jul!I37,Ago!I37,Set!I37,Out!I37,Nov!I37,Dez!I37)</f>
        <v>0</v>
      </c>
      <c r="I30" s="149" t="s">
        <v>232</v>
      </c>
      <c r="J30" s="150" t="s">
        <v>233</v>
      </c>
      <c r="K30" s="150" t="n">
        <v>201.64</v>
      </c>
      <c r="L30" s="150" t="n">
        <f aca="false">200.05+10+10+64</f>
        <v>284.05</v>
      </c>
      <c r="M30" s="151" t="n">
        <f aca="false">L30-K30</f>
        <v>82.41</v>
      </c>
    </row>
    <row r="31" customFormat="false" ht="15" hidden="false" customHeight="false" outlineLevel="0" collapsed="false">
      <c r="C31" s="74"/>
      <c r="D31" s="75" t="n">
        <f aca="false">SUBTOTAL(9,Fev!D39,Fev!D39,Mar!D39,Abr!D39,Mai!D39,Jun!D39,Jul!D39,Ago!D39,Set!D39,Out!D39,Nov!D39,Dez!D39)</f>
        <v>0</v>
      </c>
      <c r="F31" s="76" t="s">
        <v>71</v>
      </c>
      <c r="G31" s="75" t="n">
        <f aca="false">SUBTOTAL(9,Jan!I38,Fev!I38,Mar!I38,Abr!I38,Mai!I38,Jun!I38,Jul!I38,Ago!I38,Set!I38,Out!I38,Nov!I38,Dez!I38)</f>
        <v>0</v>
      </c>
      <c r="I31" s="152" t="s">
        <v>234</v>
      </c>
      <c r="J31" s="150" t="s">
        <v>235</v>
      </c>
      <c r="K31" s="150" t="n">
        <v>1289.99</v>
      </c>
      <c r="L31" s="150" t="n">
        <v>1517.64</v>
      </c>
      <c r="M31" s="151" t="n">
        <f aca="false">L31-K31</f>
        <v>227.65</v>
      </c>
    </row>
    <row r="32" customFormat="false" ht="15" hidden="false" customHeight="false" outlineLevel="0" collapsed="false">
      <c r="C32" s="79"/>
      <c r="D32" s="79"/>
      <c r="F32" s="76" t="s">
        <v>49</v>
      </c>
      <c r="G32" s="75" t="n">
        <f aca="false">SUBTOTAL(9,Jan!I39,Fev!I39,Mar!I39,Abr!I39,Mai!I39,Jun!I39,Jul!I39,Ago!I39,Set!I39,Out!I39,Nov!I39,Dez!I39)</f>
        <v>541.3</v>
      </c>
      <c r="I32" s="152" t="s">
        <v>236</v>
      </c>
      <c r="J32" s="150" t="s">
        <v>237</v>
      </c>
      <c r="K32" s="150" t="n">
        <v>700</v>
      </c>
      <c r="L32" s="150" t="n">
        <v>1000</v>
      </c>
      <c r="M32" s="151" t="n">
        <f aca="false">L32-K32</f>
        <v>300</v>
      </c>
    </row>
    <row r="33" customFormat="false" ht="15" hidden="false" customHeight="false" outlineLevel="0" collapsed="false">
      <c r="B33" s="69" t="s">
        <v>50</v>
      </c>
      <c r="C33" s="70" t="s">
        <v>73</v>
      </c>
      <c r="D33" s="71" t="n">
        <f aca="false">SUBTOTAL(9,Fev!D41,Fev!D41,Mar!D41,Abr!D41,Mai!D41,Jun!D41,Jul!D41,Ago!D41,Set!D41,Out!D41,Nov!D41,Dez!D41)</f>
        <v>47.88</v>
      </c>
      <c r="F33" s="76" t="s">
        <v>72</v>
      </c>
      <c r="G33" s="75" t="n">
        <f aca="false">SUBTOTAL(9,Jan!I40,Fev!I40,Mar!I40,Abr!I40,Mai!I40,Jun!I40,Jul!I40,Ago!I40,Set!I40,Out!I40,Nov!I40,Dez!I40)</f>
        <v>1220</v>
      </c>
      <c r="H33" s="100" t="s">
        <v>238</v>
      </c>
      <c r="I33" s="152" t="s">
        <v>239</v>
      </c>
      <c r="J33" s="150" t="s">
        <v>240</v>
      </c>
      <c r="K33" s="150" t="n">
        <v>128</v>
      </c>
      <c r="L33" s="150" t="n">
        <v>176</v>
      </c>
      <c r="M33" s="151" t="n">
        <f aca="false">L33-K33</f>
        <v>48</v>
      </c>
    </row>
    <row r="34" customFormat="false" ht="15" hidden="false" customHeight="false" outlineLevel="0" collapsed="false">
      <c r="B34" s="73" t="n">
        <f aca="false">SUM(D33:D40)</f>
        <v>673.39</v>
      </c>
      <c r="C34" s="74" t="s">
        <v>75</v>
      </c>
      <c r="D34" s="75" t="n">
        <f aca="false">SUBTOTAL(9,Fev!D42,Fev!D42,Mar!D42,Abr!D42,Mai!D42,Jun!D42,Jul!D42,Ago!D42,Set!D42,Out!D42,Nov!D42,Dez!D42)</f>
        <v>155</v>
      </c>
      <c r="F34" s="76" t="s">
        <v>74</v>
      </c>
      <c r="G34" s="75" t="n">
        <f aca="false">SUBTOTAL(9,Jan!I41,Fev!I41,Mar!I41,Abr!I41,Mai!I41,Jun!I41,Jul!I41,Ago!I41,Set!I41,Out!I41,Nov!I41,Dez!I41)</f>
        <v>40</v>
      </c>
      <c r="H34" s="100" t="n">
        <f aca="false">SUM(K30:K36)</f>
        <v>5165.22</v>
      </c>
      <c r="I34" s="152" t="s">
        <v>241</v>
      </c>
      <c r="J34" s="150" t="s">
        <v>240</v>
      </c>
      <c r="K34" s="150" t="n">
        <v>320.74</v>
      </c>
      <c r="L34" s="150" t="n">
        <v>385</v>
      </c>
      <c r="M34" s="151" t="n">
        <f aca="false">L34-K34</f>
        <v>64.26</v>
      </c>
    </row>
    <row r="35" customFormat="false" ht="15" hidden="false" customHeight="false" outlineLevel="0" collapsed="false">
      <c r="C35" s="74" t="s">
        <v>76</v>
      </c>
      <c r="D35" s="75" t="n">
        <f aca="false">SUBTOTAL(9,Fev!D43,Fev!D43,Mar!D43,Abr!D43,Mai!D43,Jun!D43,Jul!D43,Ago!D43,Set!D43,Out!D43,Nov!D43,Dez!D43)</f>
        <v>0</v>
      </c>
      <c r="F35" s="76" t="s">
        <v>42</v>
      </c>
      <c r="G35" s="75" t="n">
        <f aca="false">SUBTOTAL(9,Jan!I42,Fev!I42,Mar!I42,Abr!I42,Mai!I42,Jun!I42,Jul!I42,Ago!I42,Set!I42,Out!I42,Nov!I42,Dez!I42)</f>
        <v>3914.36</v>
      </c>
      <c r="I35" s="152" t="s">
        <v>242</v>
      </c>
      <c r="J35" s="150" t="s">
        <v>243</v>
      </c>
      <c r="K35" s="150" t="n">
        <v>1715.14</v>
      </c>
      <c r="L35" s="150" t="n">
        <v>2017.8</v>
      </c>
      <c r="M35" s="151" t="n">
        <f aca="false">L35-K35</f>
        <v>302.66</v>
      </c>
    </row>
    <row r="36" customFormat="false" ht="15" hidden="false" customHeight="false" outlineLevel="0" collapsed="false">
      <c r="C36" s="74" t="s">
        <v>78</v>
      </c>
      <c r="D36" s="75" t="n">
        <f aca="false">SUBTOTAL(9,Fev!D44,Fev!D44,Mar!D44,Abr!D44,Mai!D44,Jun!D44,Jul!D44,Ago!D44,Set!D44,Out!D44,Nov!D44,Dez!D44)</f>
        <v>0</v>
      </c>
      <c r="F36" s="76" t="s">
        <v>77</v>
      </c>
      <c r="G36" s="75" t="n">
        <f aca="false">SUBTOTAL(9,Jan!I43,Fev!I43,Mar!I43,Abr!I43,Mai!I43,Jun!I43,Jul!I43,Ago!I43,Set!I43,Out!I43,Nov!I43,Dez!I43)</f>
        <v>0</v>
      </c>
      <c r="I36" s="152" t="s">
        <v>244</v>
      </c>
      <c r="J36" s="152" t="s">
        <v>245</v>
      </c>
      <c r="K36" s="152" t="n">
        <v>809.71</v>
      </c>
      <c r="L36" s="152" t="n">
        <v>1000</v>
      </c>
      <c r="M36" s="151" t="n">
        <f aca="false">L36-K36</f>
        <v>190.29</v>
      </c>
    </row>
    <row r="37" customFormat="false" ht="15" hidden="false" customHeight="false" outlineLevel="0" collapsed="false">
      <c r="C37" s="74" t="s">
        <v>80</v>
      </c>
      <c r="D37" s="75" t="n">
        <f aca="false">SUBTOTAL(9,Fev!D45,Fev!D45,Mar!D45,Abr!D45,Mai!D45,Jun!D45,Jul!D45,Ago!D45,Set!D45,Out!D45,Nov!D45,Dez!D45)</f>
        <v>0</v>
      </c>
      <c r="F37" s="76" t="s">
        <v>79</v>
      </c>
      <c r="G37" s="75" t="n">
        <f aca="false">SUBTOTAL(9,C22:N22)</f>
        <v>6100.33</v>
      </c>
      <c r="I37" s="153" t="s">
        <v>246</v>
      </c>
      <c r="J37" s="133" t="s">
        <v>245</v>
      </c>
      <c r="K37" s="154" t="n">
        <v>2378</v>
      </c>
      <c r="L37" s="155" t="n">
        <v>3669</v>
      </c>
      <c r="M37" s="151" t="n">
        <f aca="false">L37-K37</f>
        <v>1291</v>
      </c>
    </row>
    <row r="38" customFormat="false" ht="15" hidden="false" customHeight="false" outlineLevel="0" collapsed="false">
      <c r="C38" s="74" t="s">
        <v>51</v>
      </c>
      <c r="D38" s="75" t="n">
        <f aca="false">SUBTOTAL(9,Fev!D46,Fev!D46,Mar!D46,Abr!D46,Mai!D46,Jun!D46,Jul!D46,Ago!D46,Set!D46,Out!D46,Nov!D46,Dez!D46)</f>
        <v>470.51</v>
      </c>
      <c r="F38" s="81"/>
      <c r="G38" s="78" t="n">
        <f aca="false">SUBTOTAL(9,Jan!I45,Fev!I45,Mar!I45,Abr!I45,Mai!I45,Jun!I45,Jul!I45,Ago!I45,Set!I45,Out!I45,Nov!I45,Dez!I45)</f>
        <v>0</v>
      </c>
      <c r="I38" s="152" t="s">
        <v>247</v>
      </c>
      <c r="J38" s="150" t="s">
        <v>245</v>
      </c>
      <c r="K38" s="150" t="n">
        <v>78.9</v>
      </c>
      <c r="L38" s="150" t="n">
        <v>93.24</v>
      </c>
      <c r="M38" s="151" t="n">
        <f aca="false">L38-K38</f>
        <v>14.34</v>
      </c>
    </row>
    <row r="39" customFormat="false" ht="15" hidden="false" customHeight="false" outlineLevel="0" collapsed="false">
      <c r="C39" s="82"/>
      <c r="D39" s="83" t="n">
        <f aca="false">SUBTOTAL(9,Fev!D47,Fev!D47,Mar!D47,Abr!D47,Mai!D47,Jun!D47,Jul!D47,Ago!D47,Set!D47,Out!D47,Nov!D47,Dez!D47)</f>
        <v>0</v>
      </c>
      <c r="I39" s="152" t="s">
        <v>248</v>
      </c>
      <c r="J39" s="150" t="s">
        <v>235</v>
      </c>
      <c r="K39" s="150" t="n">
        <v>630</v>
      </c>
      <c r="L39" s="150" t="n">
        <v>741</v>
      </c>
      <c r="M39" s="151" t="n">
        <f aca="false">L39-K39</f>
        <v>111</v>
      </c>
    </row>
    <row r="40" customFormat="false" ht="15" hidden="false" customHeight="false" outlineLevel="0" collapsed="false">
      <c r="B40" s="156"/>
      <c r="C40" s="64"/>
      <c r="D40" s="78" t="n">
        <f aca="false">SUBTOTAL(9,Fev!D48,Fev!D48,Mar!D48,Abr!D48,Mai!D48,Jun!D48,Jul!D48,Ago!D48,Set!D48,Out!D48,Nov!D48,Dez!D48)</f>
        <v>0</v>
      </c>
      <c r="I40" s="157" t="s">
        <v>249</v>
      </c>
      <c r="J40" s="150" t="s">
        <v>250</v>
      </c>
      <c r="K40" s="150" t="n">
        <v>394</v>
      </c>
      <c r="L40" s="150" t="n">
        <v>765</v>
      </c>
      <c r="M40" s="151" t="n">
        <f aca="false">L40-K40</f>
        <v>371</v>
      </c>
    </row>
    <row r="41" customFormat="false" ht="15" hidden="false" customHeight="false" outlineLevel="0" collapsed="false">
      <c r="B41" s="156"/>
      <c r="C41" s="64"/>
      <c r="D41" s="78"/>
      <c r="I41" s="157" t="s">
        <v>251</v>
      </c>
      <c r="J41" s="150" t="s">
        <v>250</v>
      </c>
      <c r="K41" s="150" t="n">
        <v>208.14</v>
      </c>
      <c r="L41" s="150" t="n">
        <v>230</v>
      </c>
      <c r="M41" s="151"/>
    </row>
    <row r="42" customFormat="false" ht="15" hidden="false" customHeight="false" outlineLevel="0" collapsed="false">
      <c r="I42" s="152" t="s">
        <v>252</v>
      </c>
      <c r="J42" s="150" t="s">
        <v>245</v>
      </c>
      <c r="K42" s="150" t="n">
        <v>59.9</v>
      </c>
      <c r="L42" s="150" t="n">
        <v>103.9</v>
      </c>
      <c r="M42" s="151" t="n">
        <f aca="false">L42-K42</f>
        <v>44</v>
      </c>
    </row>
    <row r="43" customFormat="false" ht="15" hidden="false" customHeight="false" outlineLevel="0" collapsed="false">
      <c r="B43" s="69" t="s">
        <v>32</v>
      </c>
      <c r="C43" s="70" t="s">
        <v>81</v>
      </c>
      <c r="D43" s="71" t="n">
        <f aca="false">SUBTOTAL(9,Fev!D50,Fev!D50,Mar!D50,Abr!D50,Mai!D50,Jun!D50,Jul!D50,Ago!D50,Set!D50,Out!D50,Nov!D50,Dez!D50)</f>
        <v>298.4</v>
      </c>
      <c r="H43" s="100" t="s">
        <v>253</v>
      </c>
      <c r="I43" s="152" t="s">
        <v>254</v>
      </c>
      <c r="J43" s="150" t="s">
        <v>250</v>
      </c>
      <c r="K43" s="150" t="n">
        <v>175</v>
      </c>
      <c r="L43" s="150" t="n">
        <v>373.58</v>
      </c>
      <c r="M43" s="151" t="n">
        <f aca="false">L43-K43</f>
        <v>198.58</v>
      </c>
    </row>
    <row r="44" customFormat="false" ht="15" hidden="false" customHeight="false" outlineLevel="0" collapsed="false">
      <c r="B44" s="73" t="n">
        <f aca="false">SUM(D43:D49)</f>
        <v>1366.38</v>
      </c>
      <c r="C44" s="74" t="s">
        <v>57</v>
      </c>
      <c r="D44" s="75" t="n">
        <f aca="false">SUBTOTAL(9,Fev!D51,Fev!D51,Mar!D51,Abr!D51,Mai!D51,Jun!D51,Jul!D51,Ago!D51,Set!D51,Out!D51,Nov!D51,Dez!D51)</f>
        <v>0</v>
      </c>
      <c r="H44" s="100" t="n">
        <f aca="false">SUM(K38:K44)</f>
        <v>1652.7</v>
      </c>
      <c r="I44" s="158" t="s">
        <v>255</v>
      </c>
      <c r="J44" s="159" t="s">
        <v>250</v>
      </c>
      <c r="K44" s="159" t="n">
        <v>106.76</v>
      </c>
      <c r="L44" s="159" t="n">
        <v>171.85</v>
      </c>
      <c r="M44" s="160" t="n">
        <f aca="false">L44-K44</f>
        <v>65.09</v>
      </c>
    </row>
    <row r="45" customFormat="false" ht="15" hidden="false" customHeight="false" outlineLevel="0" collapsed="false">
      <c r="C45" s="74" t="s">
        <v>82</v>
      </c>
      <c r="D45" s="75" t="n">
        <f aca="false">SUBTOTAL(9,Fev!D52,Fev!D52,Mar!D52,Abr!D52,Mai!D52,Jun!D52,Jul!D52,Ago!D52,Set!D52,Out!D52,Nov!D52,Dez!D52)</f>
        <v>0</v>
      </c>
    </row>
    <row r="46" customFormat="false" ht="15" hidden="false" customHeight="false" outlineLevel="0" collapsed="false">
      <c r="C46" s="74" t="s">
        <v>33</v>
      </c>
      <c r="D46" s="75" t="n">
        <f aca="false">SUBTOTAL(9,Fev!D53,Fev!D53,Mar!D53,Abr!D53,Mai!D53,Jun!D53,Jul!D53,Ago!D53,Set!D53,Out!D53,Nov!D53,Dez!D53)</f>
        <v>407.82</v>
      </c>
      <c r="I46" s="161" t="s">
        <v>220</v>
      </c>
      <c r="J46" s="161"/>
      <c r="K46" s="161"/>
      <c r="L46" s="162" t="n">
        <f aca="false">SUM(H34,H44)</f>
        <v>6817.92</v>
      </c>
      <c r="M46" s="162"/>
    </row>
    <row r="47" customFormat="false" ht="15" hidden="false" customHeight="false" outlineLevel="0" collapsed="false">
      <c r="C47" s="74" t="s">
        <v>83</v>
      </c>
      <c r="D47" s="75" t="n">
        <f aca="false">SUBTOTAL(9,Fev!D54,Fev!D54,Mar!D54,Abr!D54,Mai!D54,Jun!D54,Jul!D54,Ago!D54,Set!D54,Out!D54,Nov!D54,Dez!D54)</f>
        <v>0</v>
      </c>
    </row>
    <row r="48" customFormat="false" ht="15" hidden="false" customHeight="false" outlineLevel="0" collapsed="false">
      <c r="C48" s="74" t="s">
        <v>59</v>
      </c>
      <c r="D48" s="75" t="n">
        <f aca="false">SUBTOTAL(9,Fev!D55,Fev!D55,Mar!D55,Abr!D55,Mai!D55,Jun!D55,Jul!D55,Ago!D55,Set!D55,Out!D55,Nov!D55,Dez!D55)</f>
        <v>660.16</v>
      </c>
    </row>
    <row r="49" customFormat="false" ht="15" hidden="false" customHeight="false" outlineLevel="0" collapsed="false">
      <c r="C49" s="64"/>
      <c r="D49" s="78" t="n">
        <f aca="false">SUBTOTAL(9,Fev!D56,Fev!D56,Mar!D56,Abr!D56,Mai!D56,Jun!D56,Jul!D56,Ago!D56,Set!D56,Out!D56,Nov!D56,Dez!D56)</f>
        <v>0</v>
      </c>
    </row>
    <row r="51" customFormat="false" ht="15" hidden="false" customHeight="false" outlineLevel="0" collapsed="false">
      <c r="B51" s="69" t="s">
        <v>39</v>
      </c>
      <c r="C51" s="70" t="s">
        <v>84</v>
      </c>
      <c r="D51" s="71" t="n">
        <f aca="false">SUBTOTAL(9,Fev!D58,Fev!D58,Mar!D58,Abr!D58,Mai!D58,Jun!D58,Jul!D58,Ago!D58,Set!D58,Out!D58,Nov!D58,Dez!D58)</f>
        <v>0</v>
      </c>
    </row>
    <row r="52" customFormat="false" ht="15" hidden="false" customHeight="false" outlineLevel="0" collapsed="false">
      <c r="B52" s="73" t="n">
        <f aca="false">SUM(D51:D57)</f>
        <v>1722.18</v>
      </c>
      <c r="C52" s="74" t="s">
        <v>40</v>
      </c>
      <c r="D52" s="75" t="n">
        <f aca="false">SUBTOTAL(9,Fev!D59,Fev!D59,Mar!D59,Abr!D59,Mai!D59,Jun!D59,Jul!D59,Ago!D59,Set!D59,Out!D59,Nov!D59,Dez!D59)</f>
        <v>0</v>
      </c>
    </row>
    <row r="53" customFormat="false" ht="15" hidden="false" customHeight="false" outlineLevel="0" collapsed="false">
      <c r="C53" s="74" t="s">
        <v>85</v>
      </c>
      <c r="D53" s="75" t="n">
        <f aca="false">SUBTOTAL(9,Fev!D60,Fev!D60,Mar!D60,Abr!D60,Mai!D60,Jun!D60,Jul!D60,Ago!D60,Set!D60,Out!D60,Nov!D60,Dez!D60)</f>
        <v>0</v>
      </c>
    </row>
    <row r="54" customFormat="false" ht="15" hidden="false" customHeight="false" outlineLevel="0" collapsed="false">
      <c r="C54" s="74" t="s">
        <v>86</v>
      </c>
      <c r="D54" s="75" t="n">
        <f aca="false">SUBTOTAL(9,Fev!D61,Fev!D61,Mar!D61,Abr!D61,Mai!D61,Jun!D61,Jul!D61,Ago!D61,Set!D61,Out!D61,Nov!D61,Dez!D61)</f>
        <v>15</v>
      </c>
    </row>
    <row r="55" customFormat="false" ht="15" hidden="false" customHeight="false" outlineLevel="0" collapsed="false">
      <c r="C55" s="74" t="s">
        <v>47</v>
      </c>
      <c r="D55" s="75" t="n">
        <f aca="false">SUBTOTAL(9,Fev!D62,Fev!D62,Mar!D62,Abr!D62,Mai!D62,Jun!D62,Jul!D62,Ago!D62,Set!D62,Out!D62,Nov!D62,Dez!D62)</f>
        <v>1230.34</v>
      </c>
    </row>
    <row r="56" customFormat="false" ht="15" hidden="false" customHeight="false" outlineLevel="0" collapsed="false">
      <c r="C56" s="74" t="s">
        <v>87</v>
      </c>
      <c r="D56" s="75" t="n">
        <f aca="false">SUBTOTAL(9,Fev!D63,Fev!D63,Mar!D63,Abr!D63,Mai!D63,Jun!D63,Jul!D63,Ago!D63,Set!D63,Out!D63,Nov!D63,Dez!D63)</f>
        <v>476.84</v>
      </c>
    </row>
    <row r="57" customFormat="false" ht="15" hidden="false" customHeight="false" outlineLevel="0" collapsed="false">
      <c r="C57" s="64"/>
      <c r="D57" s="78" t="n">
        <f aca="false">SUBTOTAL(9,Fev!D64,Fev!D64,Mar!D64,Abr!D64,Mai!D64,Jun!D64,Jul!D64,Ago!D64,Set!D64,Out!D64,Nov!D64,Dez!D64)</f>
        <v>0</v>
      </c>
    </row>
    <row r="59" customFormat="false" ht="15" hidden="false" customHeight="false" outlineLevel="0" collapsed="false">
      <c r="B59" s="69" t="s">
        <v>88</v>
      </c>
      <c r="C59" s="70" t="s">
        <v>89</v>
      </c>
      <c r="D59" s="71" t="n">
        <f aca="false">SUBTOTAL(9,Fev!D66,Fev!D66,Mar!D66,Abr!D66,Mai!D66,Jun!D66,Jul!D66,Ago!D66,Set!D66,Out!D66,Nov!D66,Dez!D66)</f>
        <v>0</v>
      </c>
    </row>
    <row r="60" customFormat="false" ht="15" hidden="false" customHeight="false" outlineLevel="0" collapsed="false">
      <c r="B60" s="73" t="n">
        <f aca="false">SUM(D59:D65)</f>
        <v>34.45</v>
      </c>
      <c r="C60" s="74" t="s">
        <v>90</v>
      </c>
      <c r="D60" s="75" t="n">
        <f aca="false">SUBTOTAL(9,Fev!D67,Fev!D67,Mar!D67,Abr!D67,Mai!D67,Jun!D67,Jul!D67,Ago!D67,Set!D67,Out!D67,Nov!D67,Dez!D67)</f>
        <v>0</v>
      </c>
    </row>
    <row r="61" customFormat="false" ht="15" hidden="false" customHeight="false" outlineLevel="0" collapsed="false">
      <c r="C61" s="74" t="s">
        <v>91</v>
      </c>
      <c r="D61" s="75" t="n">
        <f aca="false">SUBTOTAL(9,Fev!D68,Fev!D68,Mar!D68,Abr!D68,Mai!D68,Jun!D68,Jul!D68,Ago!D68,Set!D68,Out!D68,Nov!D68,Dez!D68)</f>
        <v>34.45</v>
      </c>
    </row>
    <row r="62" customFormat="false" ht="15" hidden="false" customHeight="false" outlineLevel="0" collapsed="false">
      <c r="C62" s="74" t="s">
        <v>92</v>
      </c>
      <c r="D62" s="75" t="n">
        <f aca="false">SUBTOTAL(9,Fev!D69,Fev!D69,Mar!D69,Abr!D69,Mai!D69,Jun!D69,Jul!D69,Ago!D69,Set!D69,Out!D69,Nov!D69,Dez!D69)</f>
        <v>0</v>
      </c>
    </row>
    <row r="63" customFormat="false" ht="15" hidden="false" customHeight="false" outlineLevel="0" collapsed="false">
      <c r="C63" s="74" t="s">
        <v>93</v>
      </c>
      <c r="D63" s="75" t="n">
        <f aca="false">SUBTOTAL(9,Fev!D70,Fev!D70,Mar!D70,Abr!D70,Mai!D70,Jun!D70,Jul!D70,Ago!D70,Set!D70,Out!D70,Nov!D70,Dez!D70)</f>
        <v>0</v>
      </c>
    </row>
    <row r="64" customFormat="false" ht="15" hidden="false" customHeight="false" outlineLevel="0" collapsed="false">
      <c r="C64" s="74" t="s">
        <v>94</v>
      </c>
      <c r="D64" s="75" t="n">
        <f aca="false">SUBTOTAL(9,Fev!D71,Fev!D71,Mar!D71,Abr!D71,Mai!D71,Jun!D71,Jul!D71,Ago!D71,Set!D71,Out!D71,Nov!D71,Dez!D71)</f>
        <v>0</v>
      </c>
    </row>
    <row r="65" customFormat="false" ht="15" hidden="false" customHeight="false" outlineLevel="0" collapsed="false">
      <c r="C65" s="64"/>
      <c r="D65" s="78" t="n">
        <f aca="false">SUBTOTAL(9,Fev!D72,Fev!D72,Mar!D72,Abr!D72,Mai!D72,Jun!D72,Jul!D72,Ago!D72,Set!D72,Out!D72,Nov!D72,Dez!D72)</f>
        <v>0</v>
      </c>
    </row>
    <row r="67" customFormat="false" ht="15" hidden="false" customHeight="false" outlineLevel="0" collapsed="false">
      <c r="B67" s="69" t="s">
        <v>77</v>
      </c>
      <c r="C67" s="70" t="s">
        <v>95</v>
      </c>
      <c r="D67" s="71" t="n">
        <f aca="false">SUBTOTAL(9,Fev!D74,Fev!D74,Mar!D74,Abr!D74,Mai!D74,Jun!D74,Jul!D74,Ago!D74,Set!D74,Out!D74,Nov!D74,Dez!D74)</f>
        <v>0</v>
      </c>
    </row>
    <row r="68" customFormat="false" ht="15" hidden="false" customHeight="false" outlineLevel="0" collapsed="false">
      <c r="B68" s="73" t="n">
        <f aca="false">SUM(D67:D73)</f>
        <v>0</v>
      </c>
      <c r="C68" s="74" t="s">
        <v>96</v>
      </c>
      <c r="D68" s="75" t="n">
        <f aca="false">SUBTOTAL(9,Fev!D75,Fev!D75,Mar!D75,Abr!D75,Mai!D75,Jun!D75,Jul!D75,Ago!D75,Set!D75,Out!D75,Nov!D75,Dez!D75)</f>
        <v>0</v>
      </c>
    </row>
    <row r="69" customFormat="false" ht="15" hidden="false" customHeight="false" outlineLevel="0" collapsed="false">
      <c r="C69" s="74" t="s">
        <v>97</v>
      </c>
      <c r="D69" s="75" t="n">
        <f aca="false">SUBTOTAL(9,Fev!D76,Fev!D76,Mar!D76,Abr!D76,Mai!D76,Jun!D76,Jul!D76,Ago!D76,Set!D76,Out!D76,Nov!D76,Dez!D76)</f>
        <v>0</v>
      </c>
    </row>
    <row r="70" customFormat="false" ht="15" hidden="false" customHeight="false" outlineLevel="0" collapsed="false">
      <c r="C70" s="74" t="s">
        <v>98</v>
      </c>
      <c r="D70" s="75" t="n">
        <f aca="false">SUBTOTAL(9,Fev!D77,Fev!D77,Mar!D77,Abr!D77,Mai!D77,Jun!D77,Jul!D77,Ago!D77,Set!D77,Out!D77,Nov!D77,Dez!D77)</f>
        <v>0</v>
      </c>
    </row>
    <row r="71" customFormat="false" ht="15" hidden="false" customHeight="false" outlineLevel="0" collapsed="false">
      <c r="C71" s="74"/>
      <c r="D71" s="75" t="n">
        <f aca="false">SUBTOTAL(9,Fev!D78,Fev!D78,Mar!D78,Abr!D78,Mai!D78,Jun!D78,Jul!D78,Ago!D78,Set!D78,Out!D78,Nov!D78,Dez!D78)</f>
        <v>0</v>
      </c>
    </row>
    <row r="72" customFormat="false" ht="15" hidden="false" customHeight="false" outlineLevel="0" collapsed="false">
      <c r="C72" s="74"/>
      <c r="D72" s="75" t="n">
        <f aca="false">SUBTOTAL(9,Fev!D79,Fev!D79,Mar!D79,Abr!D79,Mai!D79,Jun!D79,Jul!D79,Ago!D79,Set!D79,Out!D79,Nov!D79,Dez!D79)</f>
        <v>0</v>
      </c>
    </row>
    <row r="73" customFormat="false" ht="15" hidden="false" customHeight="false" outlineLevel="0" collapsed="false">
      <c r="C73" s="64"/>
      <c r="D73" s="78" t="n">
        <f aca="false">SUBTOTAL(9,Fev!D80,Fev!D80,Mar!D80,Abr!D80,Mai!D80,Jun!D80,Jul!D80,Ago!D80,Set!D80,Out!D80,Nov!D80,Dez!D80)</f>
        <v>0</v>
      </c>
    </row>
    <row r="75" customFormat="false" ht="15" hidden="false" customHeight="false" outlineLevel="0" collapsed="false">
      <c r="B75" s="69" t="s">
        <v>99</v>
      </c>
      <c r="C75" s="70" t="s">
        <v>100</v>
      </c>
      <c r="D75" s="71" t="n">
        <f aca="false">SUBTOTAL(9,Fev!D82,Fev!D82,Mar!D82,Abr!D82,Mai!D82,Jun!D82,Jul!D82,Ago!D82,Set!D82,Out!D82,Nov!D82,Dez!D82)</f>
        <v>0</v>
      </c>
    </row>
    <row r="76" customFormat="false" ht="15" hidden="false" customHeight="false" outlineLevel="0" collapsed="false">
      <c r="B76" s="73" t="n">
        <f aca="false">SUM(D75:D81)</f>
        <v>930</v>
      </c>
      <c r="C76" s="74" t="s">
        <v>101</v>
      </c>
      <c r="D76" s="75" t="n">
        <f aca="false">SUBTOTAL(9,Fev!D83,Fev!D83,Mar!D83,Abr!D83,Mai!D83,Jun!D83,Jul!D83,Ago!D83,Set!D83,Out!D83,Nov!D83,Dez!D83)</f>
        <v>50</v>
      </c>
    </row>
    <row r="77" customFormat="false" ht="15" hidden="false" customHeight="false" outlineLevel="0" collapsed="false">
      <c r="C77" s="74" t="s">
        <v>102</v>
      </c>
      <c r="D77" s="75" t="n">
        <f aca="false">SUBTOTAL(9,Fev!D84,Fev!D84,Mar!D84,Abr!D84,Mai!D84,Jun!D84,Jul!D84,Ago!D84,Set!D84,Out!D84,Nov!D84,Dez!D84)</f>
        <v>0</v>
      </c>
    </row>
    <row r="78" customFormat="false" ht="15" hidden="false" customHeight="false" outlineLevel="0" collapsed="false">
      <c r="C78" s="74" t="s">
        <v>103</v>
      </c>
      <c r="D78" s="75" t="n">
        <f aca="false">SUBTOTAL(9,Fev!D85,Fev!D85,Mar!D85,Abr!D85,Mai!D85,Jun!D85,Jul!D85,Ago!D85,Set!D85,Out!D85,Nov!D85,Dez!D85)</f>
        <v>0</v>
      </c>
    </row>
    <row r="79" customFormat="false" ht="15" hidden="false" customHeight="false" outlineLevel="0" collapsed="false">
      <c r="C79" s="74" t="s">
        <v>104</v>
      </c>
      <c r="D79" s="75" t="n">
        <f aca="false">SUBTOTAL(9,Fev!D86,Fev!D86,Mar!D86,Abr!D86,Mai!D86,Jun!D86,Jul!D86,Ago!D86,Set!D86,Out!D86,Nov!D86,Dez!D86)</f>
        <v>880</v>
      </c>
    </row>
    <row r="80" customFormat="false" ht="15" hidden="false" customHeight="false" outlineLevel="0" collapsed="false">
      <c r="C80" s="74" t="s">
        <v>105</v>
      </c>
      <c r="D80" s="75" t="n">
        <f aca="false">SUBTOTAL(9,Fev!D87,Fev!D87,Mar!D87,Abr!D87,Mai!D87,Jun!D87,Jul!D87,Ago!D87,Set!D87,Out!D87,Nov!D87,Dez!D87)</f>
        <v>0</v>
      </c>
    </row>
    <row r="81" customFormat="false" ht="15" hidden="false" customHeight="false" outlineLevel="0" collapsed="false">
      <c r="C81" s="64"/>
      <c r="D81" s="78" t="n">
        <f aca="false">SUBTOTAL(9,Fev!D88,Fev!D88,Mar!D88,Abr!D88,Mai!D88,Jun!D88,Jul!D88,Ago!D88,Set!D88,Out!D88,Nov!D88,Dez!D88)</f>
        <v>0</v>
      </c>
    </row>
    <row r="83" customFormat="false" ht="15" hidden="false" customHeight="false" outlineLevel="0" collapsed="false">
      <c r="B83" s="69" t="s">
        <v>256</v>
      </c>
      <c r="C83" s="70" t="s">
        <v>257</v>
      </c>
      <c r="D83" s="71" t="n">
        <f aca="false">SUBTOTAL(9,Fev!D90,Fev!D90,Mar!D90,Abr!D90,Mai!D90,Jun!D90,Jul!D90,Ago!D90,Set!D90,Out!D90,Nov!D90,Dez!D90)</f>
        <v>6100.33</v>
      </c>
    </row>
  </sheetData>
  <mergeCells count="3">
    <mergeCell ref="I28:L28"/>
    <mergeCell ref="I46:K46"/>
    <mergeCell ref="L46:M46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R88"/>
  <sheetViews>
    <sheetView showFormulas="false" showGridLines="false" showRowColHeaders="true" showZeros="true" rightToLeft="false" tabSelected="false" showOutlineSymbols="true" defaultGridColor="true" view="normal" topLeftCell="E1" colorId="64" zoomScale="110" zoomScaleNormal="110" zoomScalePageLayoutView="100" workbookViewId="0">
      <selection pane="topLeft" activeCell="M60" activeCellId="0" sqref="M6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.71"/>
    <col collapsed="false" customWidth="true" hidden="false" outlineLevel="0" max="3" min="3" style="1" width="34.85"/>
    <col collapsed="false" customWidth="true" hidden="false" outlineLevel="0" max="4" min="4" style="80" width="12.15"/>
    <col collapsed="false" customWidth="true" hidden="false" outlineLevel="0" max="5" min="5" style="1" width="9.29"/>
    <col collapsed="false" customWidth="true" hidden="false" outlineLevel="0" max="6" min="6" style="1" width="13.71"/>
    <col collapsed="false" customWidth="true" hidden="false" outlineLevel="0" max="7" min="7" style="1" width="2.57"/>
    <col collapsed="false" customWidth="true" hidden="false" outlineLevel="0" max="8" min="8" style="1" width="11.85"/>
    <col collapsed="false" customWidth="true" hidden="false" outlineLevel="0" max="9" min="9" style="1" width="13.71"/>
    <col collapsed="false" customWidth="true" hidden="false" outlineLevel="0" max="11" min="10" style="1" width="11.85"/>
    <col collapsed="false" customWidth="true" hidden="false" outlineLevel="0" max="13" min="13" style="1" width="17.42"/>
    <col collapsed="false" customWidth="true" hidden="false" outlineLevel="0" max="14" min="14" style="1" width="50.86"/>
    <col collapsed="false" customWidth="true" hidden="false" outlineLevel="0" max="16" min="16" style="1" width="27.57"/>
    <col collapsed="false" customWidth="true" hidden="false" outlineLevel="0" max="18" min="18" style="1" width="19.42"/>
  </cols>
  <sheetData>
    <row r="2" customFormat="false" ht="15" hidden="false" customHeight="false" outlineLevel="0" collapsed="false">
      <c r="B2" s="2" t="s">
        <v>258</v>
      </c>
      <c r="C2" s="163" t="s">
        <v>1</v>
      </c>
      <c r="D2" s="4" t="s">
        <v>2</v>
      </c>
      <c r="E2" s="164"/>
      <c r="F2" s="5" t="s">
        <v>3</v>
      </c>
      <c r="G2" s="165"/>
      <c r="H2" s="164"/>
      <c r="J2" s="166"/>
    </row>
    <row r="3" customFormat="false" ht="15" hidden="false" customHeight="false" outlineLevel="0" collapsed="false">
      <c r="B3" s="7" t="s">
        <v>4</v>
      </c>
      <c r="C3" s="167"/>
      <c r="D3" s="17"/>
      <c r="E3" s="164"/>
      <c r="F3" s="11" t="n">
        <f aca="false">SUM(D3:D7)</f>
        <v>0</v>
      </c>
      <c r="G3" s="165"/>
      <c r="H3" s="164"/>
      <c r="M3" s="168" t="s">
        <v>259</v>
      </c>
      <c r="N3" s="168" t="s">
        <v>260</v>
      </c>
      <c r="P3" s="169" t="s">
        <v>64</v>
      </c>
      <c r="R3" s="170" t="s">
        <v>66</v>
      </c>
    </row>
    <row r="4" customFormat="false" ht="15" hidden="false" customHeight="false" outlineLevel="0" collapsed="false">
      <c r="B4" s="15" t="s">
        <v>8</v>
      </c>
      <c r="C4" s="16"/>
      <c r="D4" s="23"/>
      <c r="F4" s="19" t="n">
        <f aca="false">SUM(F11:F32)</f>
        <v>0</v>
      </c>
      <c r="M4" s="169" t="str">
        <f aca="false">P3</f>
        <v>Alimentação</v>
      </c>
      <c r="N4" s="171" t="s">
        <v>65</v>
      </c>
      <c r="P4" s="169" t="s">
        <v>50</v>
      </c>
      <c r="R4" s="170" t="s">
        <v>35</v>
      </c>
    </row>
    <row r="5" customFormat="false" ht="15" hidden="false" customHeight="false" outlineLevel="0" collapsed="false">
      <c r="B5" s="21" t="s">
        <v>12</v>
      </c>
      <c r="C5" s="22"/>
      <c r="D5" s="23"/>
      <c r="F5" s="25" t="n">
        <f aca="false">D4</f>
        <v>0</v>
      </c>
      <c r="N5" s="171" t="s">
        <v>67</v>
      </c>
      <c r="P5" s="169" t="s">
        <v>32</v>
      </c>
      <c r="R5" s="170" t="s">
        <v>69</v>
      </c>
    </row>
    <row r="6" customFormat="false" ht="15" hidden="false" customHeight="false" outlineLevel="0" collapsed="false">
      <c r="B6" s="21"/>
      <c r="C6" s="22"/>
      <c r="D6" s="23"/>
      <c r="F6" s="28" t="n">
        <f aca="false">SUM(K11:K22)</f>
        <v>0</v>
      </c>
      <c r="N6" s="171" t="s">
        <v>154</v>
      </c>
      <c r="P6" s="169" t="s">
        <v>261</v>
      </c>
      <c r="R6" s="170" t="s">
        <v>71</v>
      </c>
    </row>
    <row r="7" customFormat="false" ht="15" hidden="false" customHeight="false" outlineLevel="0" collapsed="false">
      <c r="B7" s="32" t="s">
        <v>19</v>
      </c>
      <c r="C7" s="33"/>
      <c r="D7" s="34" t="s">
        <v>262</v>
      </c>
      <c r="F7" s="36" t="n">
        <f aca="false">F3-F4-F6</f>
        <v>0</v>
      </c>
      <c r="N7" s="171" t="s">
        <v>70</v>
      </c>
      <c r="P7" s="169" t="s">
        <v>39</v>
      </c>
      <c r="R7" s="170" t="s">
        <v>49</v>
      </c>
    </row>
    <row r="8" customFormat="false" ht="15" hidden="false" customHeight="false" outlineLevel="0" collapsed="false">
      <c r="N8" s="171" t="s">
        <v>62</v>
      </c>
      <c r="P8" s="169" t="s">
        <v>88</v>
      </c>
      <c r="R8" s="170" t="s">
        <v>72</v>
      </c>
    </row>
    <row r="9" customFormat="false" ht="15" hidden="false" customHeight="false" outlineLevel="0" collapsed="false">
      <c r="B9" s="37" t="s">
        <v>20</v>
      </c>
      <c r="C9" s="37"/>
      <c r="D9" s="37"/>
      <c r="E9" s="37"/>
      <c r="F9" s="37"/>
      <c r="H9" s="38" t="s">
        <v>21</v>
      </c>
      <c r="I9" s="38"/>
      <c r="J9" s="38"/>
      <c r="K9" s="38"/>
      <c r="N9" s="79"/>
      <c r="P9" s="169" t="s">
        <v>77</v>
      </c>
      <c r="R9" s="170" t="s">
        <v>74</v>
      </c>
    </row>
    <row r="10" customFormat="false" ht="15" hidden="false" customHeight="false" outlineLevel="0" collapsed="false">
      <c r="B10" s="5" t="s">
        <v>6</v>
      </c>
      <c r="C10" s="5" t="s">
        <v>26</v>
      </c>
      <c r="D10" s="5" t="s">
        <v>27</v>
      </c>
      <c r="E10" s="5" t="s">
        <v>28</v>
      </c>
      <c r="F10" s="5" t="s">
        <v>2</v>
      </c>
      <c r="H10" s="5" t="s">
        <v>6</v>
      </c>
      <c r="I10" s="5" t="s">
        <v>29</v>
      </c>
      <c r="J10" s="5" t="s">
        <v>27</v>
      </c>
      <c r="K10" s="5" t="s">
        <v>2</v>
      </c>
      <c r="M10" s="169" t="str">
        <f aca="false">P4</f>
        <v>Lazer</v>
      </c>
      <c r="N10" s="171" t="s">
        <v>73</v>
      </c>
      <c r="P10" s="169" t="s">
        <v>99</v>
      </c>
      <c r="R10" s="170" t="s">
        <v>42</v>
      </c>
    </row>
    <row r="11" customFormat="false" ht="15" hidden="false" customHeight="false" outlineLevel="0" collapsed="false">
      <c r="B11" s="47"/>
      <c r="C11" s="48"/>
      <c r="D11" s="48"/>
      <c r="E11" s="48"/>
      <c r="F11" s="49"/>
      <c r="H11" s="50"/>
      <c r="I11" s="51"/>
      <c r="J11" s="51"/>
      <c r="K11" s="172"/>
      <c r="N11" s="171" t="s">
        <v>75</v>
      </c>
      <c r="P11" s="169" t="s">
        <v>79</v>
      </c>
      <c r="R11" s="170" t="s">
        <v>77</v>
      </c>
    </row>
    <row r="12" customFormat="false" ht="15" hidden="false" customHeight="false" outlineLevel="0" collapsed="false">
      <c r="B12" s="56"/>
      <c r="C12" s="16"/>
      <c r="D12" s="16"/>
      <c r="E12" s="16"/>
      <c r="F12" s="58"/>
      <c r="H12" s="59"/>
      <c r="I12" s="60"/>
      <c r="J12" s="60"/>
      <c r="K12" s="173"/>
      <c r="N12" s="171" t="s">
        <v>76</v>
      </c>
      <c r="R12" s="170" t="s">
        <v>79</v>
      </c>
    </row>
    <row r="13" customFormat="false" ht="15" hidden="false" customHeight="false" outlineLevel="0" collapsed="false">
      <c r="B13" s="56"/>
      <c r="C13" s="16"/>
      <c r="D13" s="16"/>
      <c r="E13" s="16"/>
      <c r="F13" s="58"/>
      <c r="H13" s="59"/>
      <c r="I13" s="60"/>
      <c r="J13" s="60"/>
      <c r="K13" s="173"/>
      <c r="N13" s="171" t="s">
        <v>195</v>
      </c>
      <c r="R13" s="170" t="s">
        <v>129</v>
      </c>
    </row>
    <row r="14" customFormat="false" ht="15" hidden="false" customHeight="false" outlineLevel="0" collapsed="false">
      <c r="B14" s="56"/>
      <c r="C14" s="16"/>
      <c r="D14" s="16"/>
      <c r="E14" s="16"/>
      <c r="F14" s="58"/>
      <c r="H14" s="59"/>
      <c r="I14" s="60"/>
      <c r="J14" s="60"/>
      <c r="K14" s="173"/>
      <c r="N14" s="171" t="s">
        <v>51</v>
      </c>
    </row>
    <row r="15" customFormat="false" ht="15" hidden="false" customHeight="false" outlineLevel="0" collapsed="false">
      <c r="B15" s="56"/>
      <c r="C15" s="16"/>
      <c r="D15" s="16"/>
      <c r="E15" s="16"/>
      <c r="F15" s="58"/>
      <c r="H15" s="59"/>
      <c r="I15" s="60"/>
      <c r="J15" s="60"/>
      <c r="K15" s="173"/>
      <c r="N15" s="171" t="s">
        <v>78</v>
      </c>
    </row>
    <row r="16" customFormat="false" ht="15" hidden="false" customHeight="false" outlineLevel="0" collapsed="false">
      <c r="B16" s="56"/>
      <c r="C16" s="16"/>
      <c r="D16" s="16"/>
      <c r="E16" s="16"/>
      <c r="F16" s="58"/>
      <c r="H16" s="59"/>
      <c r="I16" s="60"/>
      <c r="J16" s="60"/>
      <c r="K16" s="173"/>
      <c r="N16" s="174" t="s">
        <v>55</v>
      </c>
    </row>
    <row r="17" customFormat="false" ht="15" hidden="false" customHeight="false" outlineLevel="0" collapsed="false">
      <c r="B17" s="56"/>
      <c r="C17" s="16"/>
      <c r="D17" s="16"/>
      <c r="E17" s="16"/>
      <c r="F17" s="58"/>
      <c r="H17" s="59"/>
      <c r="I17" s="60"/>
      <c r="J17" s="60"/>
      <c r="K17" s="173"/>
      <c r="N17" s="170"/>
    </row>
    <row r="18" customFormat="false" ht="15" hidden="false" customHeight="false" outlineLevel="0" collapsed="false">
      <c r="B18" s="56"/>
      <c r="C18" s="16"/>
      <c r="D18" s="16"/>
      <c r="E18" s="16"/>
      <c r="F18" s="58"/>
      <c r="H18" s="59"/>
      <c r="I18" s="60"/>
      <c r="J18" s="60"/>
      <c r="K18" s="173"/>
    </row>
    <row r="19" customFormat="false" ht="15" hidden="false" customHeight="false" outlineLevel="0" collapsed="false">
      <c r="B19" s="56"/>
      <c r="C19" s="16"/>
      <c r="D19" s="16"/>
      <c r="E19" s="16"/>
      <c r="F19" s="58"/>
      <c r="H19" s="59"/>
      <c r="I19" s="60"/>
      <c r="J19" s="60"/>
      <c r="K19" s="173"/>
      <c r="M19" s="169" t="str">
        <f aca="false">P5</f>
        <v>Despesas</v>
      </c>
      <c r="N19" s="171" t="s">
        <v>81</v>
      </c>
    </row>
    <row r="20" customFormat="false" ht="15" hidden="false" customHeight="false" outlineLevel="0" collapsed="false">
      <c r="B20" s="56"/>
      <c r="C20" s="16"/>
      <c r="D20" s="16"/>
      <c r="E20" s="16"/>
      <c r="F20" s="58"/>
      <c r="H20" s="59"/>
      <c r="I20" s="60"/>
      <c r="J20" s="60"/>
      <c r="K20" s="173"/>
      <c r="N20" s="171" t="s">
        <v>57</v>
      </c>
    </row>
    <row r="21" customFormat="false" ht="15" hidden="false" customHeight="false" outlineLevel="0" collapsed="false">
      <c r="B21" s="56"/>
      <c r="C21" s="16"/>
      <c r="D21" s="16"/>
      <c r="E21" s="16"/>
      <c r="F21" s="58"/>
      <c r="H21" s="59"/>
      <c r="I21" s="60"/>
      <c r="J21" s="60"/>
      <c r="K21" s="173"/>
      <c r="N21" s="171" t="s">
        <v>44</v>
      </c>
    </row>
    <row r="22" customFormat="false" ht="15" hidden="false" customHeight="false" outlineLevel="0" collapsed="false">
      <c r="B22" s="56"/>
      <c r="C22" s="16"/>
      <c r="D22" s="16"/>
      <c r="E22" s="16"/>
      <c r="F22" s="58"/>
      <c r="H22" s="61"/>
      <c r="I22" s="62"/>
      <c r="J22" s="62"/>
      <c r="K22" s="175"/>
      <c r="N22" s="171" t="s">
        <v>33</v>
      </c>
    </row>
    <row r="23" customFormat="false" ht="15" hidden="false" customHeight="false" outlineLevel="0" collapsed="false">
      <c r="B23" s="56"/>
      <c r="C23" s="16"/>
      <c r="D23" s="16"/>
      <c r="E23" s="16"/>
      <c r="F23" s="58"/>
      <c r="N23" s="171" t="s">
        <v>83</v>
      </c>
    </row>
    <row r="24" customFormat="false" ht="15" hidden="false" customHeight="false" outlineLevel="0" collapsed="false">
      <c r="B24" s="56"/>
      <c r="C24" s="16"/>
      <c r="D24" s="16"/>
      <c r="E24" s="16"/>
      <c r="F24" s="58"/>
      <c r="N24" s="171" t="s">
        <v>59</v>
      </c>
    </row>
    <row r="25" customFormat="false" ht="15" hidden="false" customHeight="false" outlineLevel="0" collapsed="false">
      <c r="B25" s="56"/>
      <c r="C25" s="16"/>
      <c r="D25" s="16"/>
      <c r="E25" s="16"/>
      <c r="F25" s="58"/>
      <c r="N25" s="170"/>
    </row>
    <row r="26" customFormat="false" ht="15" hidden="false" customHeight="false" outlineLevel="0" collapsed="false">
      <c r="B26" s="56"/>
      <c r="C26" s="16"/>
      <c r="D26" s="16"/>
      <c r="E26" s="16"/>
      <c r="F26" s="58"/>
    </row>
    <row r="27" customFormat="false" ht="15" hidden="false" customHeight="false" outlineLevel="0" collapsed="false">
      <c r="B27" s="56"/>
      <c r="C27" s="16"/>
      <c r="D27" s="16"/>
      <c r="E27" s="16"/>
      <c r="F27" s="58"/>
    </row>
    <row r="28" customFormat="false" ht="15" hidden="false" customHeight="false" outlineLevel="0" collapsed="false">
      <c r="B28" s="56"/>
      <c r="C28" s="16"/>
      <c r="D28" s="16"/>
      <c r="E28" s="16"/>
      <c r="F28" s="58"/>
    </row>
    <row r="29" customFormat="false" ht="15" hidden="false" customHeight="false" outlineLevel="0" collapsed="false">
      <c r="B29" s="56"/>
      <c r="C29" s="16"/>
      <c r="D29" s="16"/>
      <c r="E29" s="16"/>
      <c r="F29" s="58"/>
      <c r="M29" s="169" t="str">
        <f aca="false">P7</f>
        <v>Transporte</v>
      </c>
      <c r="N29" s="171" t="s">
        <v>263</v>
      </c>
    </row>
    <row r="30" customFormat="false" ht="15" hidden="false" customHeight="false" outlineLevel="0" collapsed="false">
      <c r="B30" s="56"/>
      <c r="C30" s="16"/>
      <c r="D30" s="16"/>
      <c r="E30" s="16"/>
      <c r="F30" s="58"/>
      <c r="N30" s="171" t="s">
        <v>40</v>
      </c>
    </row>
    <row r="31" customFormat="false" ht="15" hidden="false" customHeight="false" outlineLevel="0" collapsed="false">
      <c r="B31" s="56"/>
      <c r="C31" s="16"/>
      <c r="D31" s="16"/>
      <c r="E31" s="16"/>
      <c r="F31" s="58"/>
      <c r="N31" s="171" t="s">
        <v>85</v>
      </c>
    </row>
    <row r="32" customFormat="false" ht="15" hidden="false" customHeight="false" outlineLevel="0" collapsed="false">
      <c r="B32" s="67"/>
      <c r="C32" s="33"/>
      <c r="D32" s="33"/>
      <c r="E32" s="33"/>
      <c r="F32" s="68"/>
      <c r="N32" s="171" t="s">
        <v>86</v>
      </c>
    </row>
    <row r="33" customFormat="false" ht="15" hidden="false" customHeight="false" outlineLevel="0" collapsed="false">
      <c r="N33" s="171" t="s">
        <v>47</v>
      </c>
    </row>
    <row r="34" customFormat="false" ht="15" hidden="false" customHeight="false" outlineLevel="0" collapsed="false">
      <c r="N34" s="171" t="s">
        <v>87</v>
      </c>
    </row>
    <row r="35" customFormat="false" ht="15" hidden="false" customHeight="false" outlineLevel="0" collapsed="false">
      <c r="B35" s="169" t="s">
        <v>64</v>
      </c>
      <c r="C35" s="171" t="s">
        <v>65</v>
      </c>
      <c r="D35" s="176" t="n">
        <f aca="false">SUMIF($D$11:$D$32,C35,$F$11:$F$32)</f>
        <v>0</v>
      </c>
      <c r="N35" s="170"/>
    </row>
    <row r="36" customFormat="false" ht="15" hidden="false" customHeight="false" outlineLevel="0" collapsed="false">
      <c r="B36" s="177" t="n">
        <f aca="false">SUBTOTAL(9,D35:D39)</f>
        <v>0</v>
      </c>
      <c r="C36" s="171" t="s">
        <v>67</v>
      </c>
      <c r="D36" s="176" t="n">
        <f aca="false">SUMIF($D$11:$D$32,C36,$F$11:$F$32)</f>
        <v>0</v>
      </c>
      <c r="H36" s="39" t="s">
        <v>108</v>
      </c>
      <c r="I36" s="40" t="s">
        <v>23</v>
      </c>
      <c r="J36" s="41" t="s">
        <v>24</v>
      </c>
      <c r="K36" s="42" t="s">
        <v>25</v>
      </c>
    </row>
    <row r="37" customFormat="false" ht="15" hidden="false" customHeight="false" outlineLevel="0" collapsed="false">
      <c r="C37" s="171" t="s">
        <v>68</v>
      </c>
      <c r="D37" s="176" t="n">
        <f aca="false">SUMIF($D$11:$D$32,C37,$F$11:$F$32)</f>
        <v>0</v>
      </c>
      <c r="H37" s="43"/>
      <c r="I37" s="44"/>
      <c r="J37" s="45"/>
      <c r="K37" s="46"/>
      <c r="M37" s="169" t="str">
        <f aca="false">P8</f>
        <v>Educação</v>
      </c>
      <c r="N37" s="178" t="s">
        <v>264</v>
      </c>
    </row>
    <row r="38" customFormat="false" ht="15" hidden="false" customHeight="false" outlineLevel="0" collapsed="false">
      <c r="C38" s="171" t="s">
        <v>70</v>
      </c>
      <c r="D38" s="176" t="n">
        <f aca="false">SUMIF($D$11:$D$32,C38,$F$11:$F$32)</f>
        <v>0</v>
      </c>
      <c r="H38" s="52"/>
      <c r="I38" s="53"/>
      <c r="J38" s="54"/>
      <c r="K38" s="55"/>
      <c r="N38" s="178" t="s">
        <v>90</v>
      </c>
    </row>
    <row r="39" customFormat="false" ht="15" hidden="false" customHeight="false" outlineLevel="0" collapsed="false">
      <c r="C39" s="171"/>
      <c r="D39" s="176" t="n">
        <f aca="false">SUMIF($D$11:$D$32,C39,$F$11:$F$32)</f>
        <v>0</v>
      </c>
      <c r="H39" s="52"/>
      <c r="I39" s="53"/>
      <c r="J39" s="54"/>
      <c r="K39" s="55"/>
      <c r="N39" s="178" t="s">
        <v>91</v>
      </c>
    </row>
    <row r="40" customFormat="false" ht="15" hidden="false" customHeight="false" outlineLevel="0" collapsed="false">
      <c r="C40" s="79"/>
      <c r="H40" s="52"/>
      <c r="I40" s="53"/>
      <c r="J40" s="54"/>
      <c r="K40" s="55"/>
      <c r="N40" s="178" t="s">
        <v>265</v>
      </c>
    </row>
    <row r="41" customFormat="false" ht="15" hidden="false" customHeight="false" outlineLevel="0" collapsed="false">
      <c r="B41" s="169" t="s">
        <v>50</v>
      </c>
      <c r="C41" s="171" t="s">
        <v>73</v>
      </c>
      <c r="D41" s="176" t="n">
        <f aca="false">SUMIF($D$11:$D$32,C41,$F$11:$F$32)</f>
        <v>0</v>
      </c>
      <c r="H41" s="52"/>
      <c r="I41" s="53"/>
      <c r="J41" s="54"/>
      <c r="K41" s="55"/>
      <c r="N41" s="178" t="s">
        <v>93</v>
      </c>
    </row>
    <row r="42" customFormat="false" ht="15" hidden="false" customHeight="false" outlineLevel="0" collapsed="false">
      <c r="B42" s="177" t="n">
        <f aca="false">SUBTOTAL(9,D41:D48)</f>
        <v>0</v>
      </c>
      <c r="C42" s="171" t="s">
        <v>75</v>
      </c>
      <c r="D42" s="176" t="n">
        <f aca="false">SUMIF($D$11:$D$32,C42,$F$11:$F$32)</f>
        <v>0</v>
      </c>
      <c r="H42" s="52"/>
      <c r="I42" s="53"/>
      <c r="J42" s="54"/>
      <c r="K42" s="55"/>
      <c r="N42" s="178" t="s">
        <v>94</v>
      </c>
    </row>
    <row r="43" customFormat="false" ht="15" hidden="false" customHeight="false" outlineLevel="0" collapsed="false">
      <c r="C43" s="171" t="s">
        <v>76</v>
      </c>
      <c r="D43" s="176" t="n">
        <f aca="false">SUMIF($D$11:$D$32,C43,$F$11:$F$32)</f>
        <v>0</v>
      </c>
      <c r="H43" s="52"/>
      <c r="I43" s="53"/>
      <c r="J43" s="54"/>
      <c r="K43" s="55"/>
      <c r="N43" s="179"/>
    </row>
    <row r="44" customFormat="false" ht="15" hidden="false" customHeight="false" outlineLevel="0" collapsed="false">
      <c r="C44" s="171" t="s">
        <v>78</v>
      </c>
      <c r="D44" s="176" t="n">
        <f aca="false">SUMIF($D$11:$D$32,C44,$F$11:$F$32)</f>
        <v>0</v>
      </c>
      <c r="H44" s="52"/>
      <c r="I44" s="53"/>
      <c r="J44" s="54"/>
      <c r="K44" s="55"/>
    </row>
    <row r="45" customFormat="false" ht="15" hidden="false" customHeight="false" outlineLevel="0" collapsed="false">
      <c r="C45" s="171" t="s">
        <v>80</v>
      </c>
      <c r="D45" s="176" t="n">
        <f aca="false">SUMIF($D$11:$D$32,C45,$F$11:$F$32)</f>
        <v>0</v>
      </c>
      <c r="H45" s="52"/>
      <c r="I45" s="53"/>
      <c r="J45" s="54"/>
      <c r="K45" s="55"/>
      <c r="M45" s="169" t="str">
        <f aca="false">P9</f>
        <v>Saúde</v>
      </c>
      <c r="N45" s="171" t="s">
        <v>95</v>
      </c>
    </row>
    <row r="46" customFormat="false" ht="15" hidden="false" customHeight="false" outlineLevel="0" collapsed="false">
      <c r="C46" s="171" t="s">
        <v>51</v>
      </c>
      <c r="D46" s="176" t="n">
        <f aca="false">SUMIF($D$11:$D$32,C46,$F$11:$F$32)</f>
        <v>0</v>
      </c>
      <c r="H46" s="52"/>
      <c r="I46" s="53"/>
      <c r="J46" s="54"/>
      <c r="K46" s="55"/>
      <c r="N46" s="171" t="s">
        <v>96</v>
      </c>
    </row>
    <row r="47" customFormat="false" ht="15" hidden="false" customHeight="false" outlineLevel="0" collapsed="false">
      <c r="C47" s="170"/>
      <c r="D47" s="176" t="n">
        <f aca="false">SUMIF($D$11:$D$32,C47,$F$11:$F$32)</f>
        <v>0</v>
      </c>
      <c r="H47" s="52"/>
      <c r="I47" s="53"/>
      <c r="J47" s="54"/>
      <c r="K47" s="55"/>
      <c r="N47" s="171" t="s">
        <v>266</v>
      </c>
    </row>
    <row r="48" customFormat="false" ht="15" hidden="false" customHeight="false" outlineLevel="0" collapsed="false">
      <c r="C48" s="170"/>
      <c r="D48" s="176" t="n">
        <f aca="false">SUMIF($D$11:$D$32,C48,$F$11:$F$32)</f>
        <v>0</v>
      </c>
      <c r="H48" s="52"/>
      <c r="I48" s="53"/>
      <c r="J48" s="54"/>
      <c r="K48" s="55"/>
      <c r="N48" s="171" t="s">
        <v>97</v>
      </c>
    </row>
    <row r="49" customFormat="false" ht="15" hidden="false" customHeight="false" outlineLevel="0" collapsed="false">
      <c r="H49" s="52"/>
      <c r="I49" s="53"/>
      <c r="J49" s="54"/>
      <c r="K49" s="55"/>
      <c r="N49" s="171" t="s">
        <v>267</v>
      </c>
    </row>
    <row r="50" customFormat="false" ht="15" hidden="false" customHeight="false" outlineLevel="0" collapsed="false">
      <c r="B50" s="169" t="s">
        <v>32</v>
      </c>
      <c r="C50" s="171" t="s">
        <v>81</v>
      </c>
      <c r="D50" s="176" t="n">
        <f aca="false">SUMIF($D$11:$D$32,C50,$F$11:$F$32)</f>
        <v>0</v>
      </c>
      <c r="H50" s="52"/>
      <c r="I50" s="53"/>
      <c r="J50" s="54"/>
      <c r="K50" s="55"/>
      <c r="N50" s="171" t="s">
        <v>98</v>
      </c>
    </row>
    <row r="51" customFormat="false" ht="15" hidden="false" customHeight="false" outlineLevel="0" collapsed="false">
      <c r="B51" s="177" t="n">
        <f aca="false">SUBTOTAL(9,D50:D56)</f>
        <v>0</v>
      </c>
      <c r="C51" s="171" t="s">
        <v>57</v>
      </c>
      <c r="D51" s="176" t="n">
        <f aca="false">SUMIF($D$11:$D$32,C51,$F$11:$F$32)</f>
        <v>0</v>
      </c>
      <c r="H51" s="52"/>
      <c r="I51" s="53"/>
      <c r="J51" s="54"/>
      <c r="K51" s="55"/>
      <c r="N51" s="170"/>
    </row>
    <row r="52" customFormat="false" ht="15" hidden="false" customHeight="false" outlineLevel="0" collapsed="false">
      <c r="C52" s="171" t="s">
        <v>82</v>
      </c>
      <c r="D52" s="176" t="n">
        <f aca="false">SUMIF($D$11:$D$32,C52,$F$11:$F$32)</f>
        <v>0</v>
      </c>
      <c r="H52" s="64"/>
      <c r="I52" s="65"/>
      <c r="J52" s="66"/>
      <c r="K52" s="63"/>
    </row>
    <row r="53" customFormat="false" ht="15" hidden="false" customHeight="false" outlineLevel="0" collapsed="false">
      <c r="C53" s="171" t="s">
        <v>33</v>
      </c>
      <c r="D53" s="176" t="n">
        <f aca="false">SUMIF($D$11:$D$32,C53,$F$11:$F$32)</f>
        <v>0</v>
      </c>
      <c r="M53" s="169" t="str">
        <f aca="false">P10</f>
        <v>Imprevistos</v>
      </c>
      <c r="N53" s="171" t="s">
        <v>100</v>
      </c>
    </row>
    <row r="54" customFormat="false" ht="15" hidden="false" customHeight="false" outlineLevel="0" collapsed="false">
      <c r="C54" s="171" t="s">
        <v>83</v>
      </c>
      <c r="D54" s="176" t="n">
        <f aca="false">SUMIF($D$11:$D$32,C54,$F$11:$F$32)</f>
        <v>0</v>
      </c>
      <c r="N54" s="171" t="s">
        <v>101</v>
      </c>
    </row>
    <row r="55" customFormat="false" ht="15" hidden="false" customHeight="false" outlineLevel="0" collapsed="false">
      <c r="C55" s="171" t="s">
        <v>59</v>
      </c>
      <c r="D55" s="176" t="n">
        <f aca="false">SUMIF($D$11:$D$32,C55,$F$11:$F$32)</f>
        <v>0</v>
      </c>
      <c r="N55" s="171" t="s">
        <v>102</v>
      </c>
    </row>
    <row r="56" customFormat="false" ht="15" hidden="false" customHeight="false" outlineLevel="0" collapsed="false">
      <c r="C56" s="170"/>
      <c r="D56" s="176" t="n">
        <f aca="false">SUMIF($D$11:$D$32,C56,$F$11:$F$32)</f>
        <v>0</v>
      </c>
      <c r="N56" s="171" t="s">
        <v>103</v>
      </c>
    </row>
    <row r="57" customFormat="false" ht="15" hidden="false" customHeight="false" outlineLevel="0" collapsed="false">
      <c r="N57" s="171" t="s">
        <v>104</v>
      </c>
    </row>
    <row r="58" customFormat="false" ht="15" hidden="false" customHeight="false" outlineLevel="0" collapsed="false">
      <c r="B58" s="169" t="s">
        <v>39</v>
      </c>
      <c r="C58" s="171" t="s">
        <v>84</v>
      </c>
      <c r="D58" s="176" t="n">
        <f aca="false">SUMIF($D$11:$D$32,C58,$F$11:$F$32)</f>
        <v>0</v>
      </c>
      <c r="N58" s="171" t="s">
        <v>105</v>
      </c>
    </row>
    <row r="59" customFormat="false" ht="15" hidden="false" customHeight="false" outlineLevel="0" collapsed="false">
      <c r="B59" s="177" t="n">
        <f aca="false">SUBTOTAL(9,D58:D64)</f>
        <v>0</v>
      </c>
      <c r="C59" s="171" t="s">
        <v>40</v>
      </c>
      <c r="D59" s="176" t="n">
        <f aca="false">SUMIF($D$11:$D$32,C59,$F$11:$F$32)</f>
        <v>0</v>
      </c>
      <c r="N59" s="170"/>
    </row>
    <row r="60" customFormat="false" ht="15" hidden="false" customHeight="false" outlineLevel="0" collapsed="false">
      <c r="C60" s="171" t="s">
        <v>85</v>
      </c>
      <c r="D60" s="176" t="n">
        <f aca="false">SUMIF($D$11:$D$32,C60,$F$11:$F$32)</f>
        <v>0</v>
      </c>
    </row>
    <row r="61" customFormat="false" ht="15" hidden="false" customHeight="false" outlineLevel="0" collapsed="false">
      <c r="C61" s="171" t="s">
        <v>86</v>
      </c>
      <c r="D61" s="176" t="n">
        <f aca="false">SUMIF($D$11:$D$32,C61,$F$11:$F$32)</f>
        <v>0</v>
      </c>
    </row>
    <row r="62" customFormat="false" ht="15" hidden="false" customHeight="false" outlineLevel="0" collapsed="false">
      <c r="C62" s="171" t="s">
        <v>47</v>
      </c>
      <c r="D62" s="176" t="n">
        <f aca="false">SUMIF($D$11:$D$32,C62,$F$11:$F$32)</f>
        <v>0</v>
      </c>
    </row>
    <row r="63" customFormat="false" ht="15" hidden="false" customHeight="false" outlineLevel="0" collapsed="false">
      <c r="C63" s="171" t="s">
        <v>87</v>
      </c>
      <c r="D63" s="176" t="n">
        <f aca="false">SUMIF($D$11:$D$32,C63,$F$11:$F$32)</f>
        <v>0</v>
      </c>
    </row>
    <row r="64" customFormat="false" ht="15" hidden="false" customHeight="false" outlineLevel="0" collapsed="false">
      <c r="C64" s="170"/>
      <c r="D64" s="176" t="n">
        <f aca="false">SUMIF($D$11:$D$32,C64,$F$11:$F$32)</f>
        <v>0</v>
      </c>
    </row>
    <row r="66" customFormat="false" ht="15" hidden="false" customHeight="false" outlineLevel="0" collapsed="false">
      <c r="B66" s="169" t="s">
        <v>88</v>
      </c>
      <c r="C66" s="178" t="s">
        <v>89</v>
      </c>
      <c r="D66" s="176" t="n">
        <f aca="false">SUMIF($D$11:$D$32,C66,$F$11:$F$32)</f>
        <v>0</v>
      </c>
    </row>
    <row r="67" customFormat="false" ht="15" hidden="false" customHeight="false" outlineLevel="0" collapsed="false">
      <c r="B67" s="177" t="n">
        <f aca="false">SUBTOTAL(9,D66:D72)</f>
        <v>0</v>
      </c>
      <c r="C67" s="178" t="s">
        <v>90</v>
      </c>
      <c r="D67" s="176" t="n">
        <f aca="false">SUMIF($D$11:$D$32,C67,$F$11:$F$32)</f>
        <v>0</v>
      </c>
    </row>
    <row r="68" customFormat="false" ht="15" hidden="false" customHeight="false" outlineLevel="0" collapsed="false">
      <c r="C68" s="178" t="s">
        <v>91</v>
      </c>
      <c r="D68" s="176" t="n">
        <f aca="false">SUMIF($D$11:$D$32,C68,$F$11:$F$32)</f>
        <v>0</v>
      </c>
    </row>
    <row r="69" customFormat="false" ht="15" hidden="false" customHeight="false" outlineLevel="0" collapsed="false">
      <c r="C69" s="178" t="s">
        <v>92</v>
      </c>
      <c r="D69" s="176" t="n">
        <f aca="false">SUMIF($D$11:$D$32,C69,$F$11:$F$32)</f>
        <v>0</v>
      </c>
    </row>
    <row r="70" customFormat="false" ht="15" hidden="false" customHeight="false" outlineLevel="0" collapsed="false">
      <c r="C70" s="178" t="s">
        <v>93</v>
      </c>
      <c r="D70" s="176" t="n">
        <f aca="false">SUMIF($D$11:$D$32,C70,$F$11:$F$32)</f>
        <v>0</v>
      </c>
    </row>
    <row r="71" customFormat="false" ht="15" hidden="false" customHeight="false" outlineLevel="0" collapsed="false">
      <c r="C71" s="178" t="s">
        <v>94</v>
      </c>
      <c r="D71" s="176" t="n">
        <f aca="false">SUMIF($D$11:$D$32,C71,$F$11:$F$32)</f>
        <v>0</v>
      </c>
    </row>
    <row r="72" customFormat="false" ht="15" hidden="false" customHeight="false" outlineLevel="0" collapsed="false">
      <c r="C72" s="179"/>
      <c r="D72" s="176" t="n">
        <f aca="false">SUMIF($D$11:$D$32,C72,$F$11:$F$32)</f>
        <v>0</v>
      </c>
    </row>
    <row r="74" customFormat="false" ht="15" hidden="false" customHeight="false" outlineLevel="0" collapsed="false">
      <c r="B74" s="169" t="s">
        <v>77</v>
      </c>
      <c r="C74" s="171" t="s">
        <v>95</v>
      </c>
      <c r="D74" s="176" t="n">
        <f aca="false">SUMIF($D$11:$D$32,C74,$F$11:$F$32)</f>
        <v>0</v>
      </c>
    </row>
    <row r="75" customFormat="false" ht="15" hidden="false" customHeight="false" outlineLevel="0" collapsed="false">
      <c r="B75" s="177" t="n">
        <f aca="false">SUBTOTAL(9,D74:D80)</f>
        <v>0</v>
      </c>
      <c r="C75" s="171" t="s">
        <v>96</v>
      </c>
      <c r="D75" s="176" t="n">
        <f aca="false">SUMIF($D$11:$D$32,C75,$F$11:$F$32)</f>
        <v>0</v>
      </c>
    </row>
    <row r="76" customFormat="false" ht="15" hidden="false" customHeight="false" outlineLevel="0" collapsed="false">
      <c r="C76" s="171" t="s">
        <v>97</v>
      </c>
      <c r="D76" s="176" t="n">
        <f aca="false">SUMIF($D$11:$D$32,C76,$F$11:$F$32)</f>
        <v>0</v>
      </c>
    </row>
    <row r="77" customFormat="false" ht="15" hidden="false" customHeight="false" outlineLevel="0" collapsed="false">
      <c r="C77" s="171" t="s">
        <v>98</v>
      </c>
      <c r="D77" s="176" t="n">
        <f aca="false">SUMIF($D$11:$D$32,C77,$F$11:$F$32)</f>
        <v>0</v>
      </c>
    </row>
    <row r="78" customFormat="false" ht="15" hidden="false" customHeight="false" outlineLevel="0" collapsed="false">
      <c r="C78" s="170"/>
      <c r="D78" s="176" t="n">
        <f aca="false">SUMIF($D$11:$D$32,C78,$F$11:$F$32)</f>
        <v>0</v>
      </c>
    </row>
    <row r="79" customFormat="false" ht="15" hidden="false" customHeight="false" outlineLevel="0" collapsed="false">
      <c r="C79" s="170"/>
      <c r="D79" s="176" t="n">
        <f aca="false">SUMIF($D$11:$D$32,C79,$F$11:$F$32)</f>
        <v>0</v>
      </c>
    </row>
    <row r="80" customFormat="false" ht="15" hidden="false" customHeight="false" outlineLevel="0" collapsed="false">
      <c r="C80" s="170"/>
      <c r="D80" s="176" t="n">
        <f aca="false">SUMIF($D$11:$D$32,C80,$F$11:$F$32)</f>
        <v>0</v>
      </c>
    </row>
    <row r="82" customFormat="false" ht="15" hidden="false" customHeight="false" outlineLevel="0" collapsed="false">
      <c r="B82" s="169" t="s">
        <v>99</v>
      </c>
      <c r="C82" s="171" t="s">
        <v>100</v>
      </c>
      <c r="D82" s="176" t="n">
        <f aca="false">SUMIF($D$11:$D$32,C82,$F$11:$F$32)</f>
        <v>0</v>
      </c>
    </row>
    <row r="83" customFormat="false" ht="15" hidden="false" customHeight="false" outlineLevel="0" collapsed="false">
      <c r="B83" s="177" t="n">
        <f aca="false">SUBTOTAL(9,D82:D88)</f>
        <v>0</v>
      </c>
      <c r="C83" s="171" t="s">
        <v>101</v>
      </c>
      <c r="D83" s="176" t="n">
        <f aca="false">SUMIF($D$11:$D$32,C83,$F$11:$F$32)</f>
        <v>0</v>
      </c>
    </row>
    <row r="84" customFormat="false" ht="15" hidden="false" customHeight="false" outlineLevel="0" collapsed="false">
      <c r="C84" s="171" t="s">
        <v>102</v>
      </c>
      <c r="D84" s="176" t="n">
        <f aca="false">SUMIF($D$11:$D$32,C84,$F$11:$F$32)</f>
        <v>0</v>
      </c>
    </row>
    <row r="85" customFormat="false" ht="15" hidden="false" customHeight="false" outlineLevel="0" collapsed="false">
      <c r="C85" s="171" t="s">
        <v>103</v>
      </c>
      <c r="D85" s="176" t="n">
        <f aca="false">SUMIF($D$11:$D$32,C85,$F$11:$F$32)</f>
        <v>0</v>
      </c>
    </row>
    <row r="86" customFormat="false" ht="15" hidden="false" customHeight="false" outlineLevel="0" collapsed="false">
      <c r="C86" s="171" t="s">
        <v>104</v>
      </c>
      <c r="D86" s="176" t="n">
        <f aca="false">SUMIF($D$11:$D$32,C86,$F$11:$F$32)</f>
        <v>0</v>
      </c>
    </row>
    <row r="87" customFormat="false" ht="15" hidden="false" customHeight="false" outlineLevel="0" collapsed="false">
      <c r="C87" s="171" t="s">
        <v>105</v>
      </c>
      <c r="D87" s="176" t="n">
        <f aca="false">SUMIF($D$11:$D$32,C87,$F$11:$F$32)</f>
        <v>0</v>
      </c>
    </row>
    <row r="88" customFormat="false" ht="15" hidden="false" customHeight="false" outlineLevel="0" collapsed="false">
      <c r="C88" s="170"/>
      <c r="D88" s="176" t="n">
        <f aca="false">SUMIF($D$11:$D$32,C88,$F$11:$F$32)</f>
        <v>0</v>
      </c>
    </row>
  </sheetData>
  <mergeCells count="2">
    <mergeCell ref="B9:F9"/>
    <mergeCell ref="H9:K9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2025-07-09T15:01:32Z</dcterms:created>
  <dc:creator>55319</dc:creator>
  <dc:description/>
  <dc:language>pt-BR</dc:language>
  <cp:lastModifiedBy/>
  <dcterms:modified xsi:type="dcterms:W3CDTF">2026-08-08T16:09:01Z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