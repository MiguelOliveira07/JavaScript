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710" firstSheet="2" activeTab="10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ráficos" sheetId="15" r:id="rId14"/>
    <sheet name="Grafico-geral" sheetId="17" r:id="rId15"/>
    <sheet name="Modelo" sheetId="2" r:id="rId16"/>
  </sheets>
  <definedNames>
    <definedName name="Alimentação">Modelo!$N$4:$N$8</definedName>
    <definedName name="Despesas">Modelo!$N$18:$N$23</definedName>
    <definedName name="Educação">Modelo!$N$40:$N$45</definedName>
    <definedName name="Imprevistos">Modelo!$N$54:$N$60</definedName>
    <definedName name="Lazer">Modelo!$N$10:$N$16</definedName>
    <definedName name="Moradia">Modelo!$N$25:$N$31</definedName>
    <definedName name="Saúde">Modelo!$N$47:$N$52</definedName>
    <definedName name="Transporte">Modelo!$N$33:$N$38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3" l="1"/>
  <c r="Q5" i="3"/>
  <c r="Q4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10" i="3"/>
  <c r="J23" i="3"/>
  <c r="J11" i="3"/>
  <c r="J12" i="3"/>
  <c r="J13" i="3"/>
  <c r="J14" i="3"/>
  <c r="J15" i="3"/>
  <c r="J16" i="3"/>
  <c r="J17" i="3"/>
  <c r="J18" i="3"/>
  <c r="J19" i="3"/>
  <c r="J20" i="3"/>
  <c r="J21" i="3"/>
  <c r="J22" i="3"/>
  <c r="J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10" i="3"/>
  <c r="L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10" i="3"/>
  <c r="F5" i="1"/>
  <c r="F5" i="10"/>
  <c r="F5" i="11"/>
  <c r="F5" i="12"/>
  <c r="F5" i="13"/>
  <c r="F5" i="14"/>
  <c r="F5" i="4"/>
  <c r="F7" i="4" s="1"/>
  <c r="F5" i="5"/>
  <c r="F5" i="6"/>
  <c r="F5" i="7"/>
  <c r="F5" i="9"/>
  <c r="F5" i="8"/>
  <c r="F7" i="1"/>
  <c r="F4" i="1"/>
  <c r="F4" i="10"/>
  <c r="F4" i="11"/>
  <c r="F4" i="12"/>
  <c r="F4" i="13"/>
  <c r="F4" i="14"/>
  <c r="F4" i="4"/>
  <c r="F4" i="5"/>
  <c r="F4" i="6"/>
  <c r="F4" i="7"/>
  <c r="F4" i="9"/>
  <c r="F4" i="8"/>
  <c r="F3" i="1"/>
  <c r="F3" i="4"/>
  <c r="I39" i="1"/>
  <c r="C14" i="3" s="1"/>
  <c r="I39" i="10"/>
  <c r="I39" i="11"/>
  <c r="I39" i="12"/>
  <c r="I39" i="14"/>
  <c r="I39" i="4"/>
  <c r="I39" i="5"/>
  <c r="I39" i="6"/>
  <c r="I39" i="7"/>
  <c r="I39" i="8"/>
  <c r="I39" i="9"/>
  <c r="I39" i="13"/>
  <c r="I36" i="10"/>
  <c r="I37" i="10"/>
  <c r="I38" i="10"/>
  <c r="I40" i="10"/>
  <c r="I41" i="10"/>
  <c r="I42" i="10"/>
  <c r="I43" i="10"/>
  <c r="I44" i="10"/>
  <c r="I45" i="10"/>
  <c r="I46" i="10"/>
  <c r="I47" i="10"/>
  <c r="I48" i="10"/>
  <c r="I36" i="11"/>
  <c r="I37" i="11"/>
  <c r="I38" i="11"/>
  <c r="I40" i="11"/>
  <c r="I41" i="11"/>
  <c r="I42" i="11"/>
  <c r="I43" i="11"/>
  <c r="I44" i="11"/>
  <c r="I45" i="11"/>
  <c r="I46" i="11"/>
  <c r="I47" i="11"/>
  <c r="I48" i="11"/>
  <c r="I36" i="12"/>
  <c r="I37" i="12"/>
  <c r="I38" i="12"/>
  <c r="I40" i="12"/>
  <c r="I41" i="12"/>
  <c r="I42" i="12"/>
  <c r="I43" i="12"/>
  <c r="I44" i="12"/>
  <c r="I45" i="12"/>
  <c r="I46" i="12"/>
  <c r="I47" i="12"/>
  <c r="I48" i="12"/>
  <c r="I36" i="13"/>
  <c r="I37" i="13"/>
  <c r="I38" i="13"/>
  <c r="I40" i="13"/>
  <c r="I41" i="13"/>
  <c r="I42" i="13"/>
  <c r="I43" i="13"/>
  <c r="I44" i="13"/>
  <c r="I45" i="13"/>
  <c r="I46" i="13"/>
  <c r="I47" i="13"/>
  <c r="I48" i="13"/>
  <c r="I36" i="14"/>
  <c r="I37" i="14"/>
  <c r="I38" i="14"/>
  <c r="I40" i="14"/>
  <c r="I41" i="14"/>
  <c r="I42" i="14"/>
  <c r="I43" i="14"/>
  <c r="I44" i="14"/>
  <c r="I45" i="14"/>
  <c r="I46" i="14"/>
  <c r="I47" i="14"/>
  <c r="I48" i="14"/>
  <c r="I36" i="4"/>
  <c r="I37" i="4"/>
  <c r="I38" i="4"/>
  <c r="I40" i="4"/>
  <c r="I41" i="4"/>
  <c r="I42" i="4"/>
  <c r="I43" i="4"/>
  <c r="I44" i="4"/>
  <c r="I45" i="4"/>
  <c r="I46" i="4"/>
  <c r="I47" i="4"/>
  <c r="I48" i="4"/>
  <c r="I36" i="5"/>
  <c r="I37" i="5"/>
  <c r="I38" i="5"/>
  <c r="I40" i="5"/>
  <c r="I41" i="5"/>
  <c r="I42" i="5"/>
  <c r="I43" i="5"/>
  <c r="I44" i="5"/>
  <c r="I45" i="5"/>
  <c r="I46" i="5"/>
  <c r="I47" i="5"/>
  <c r="I48" i="5"/>
  <c r="I36" i="6"/>
  <c r="I37" i="6"/>
  <c r="I38" i="6"/>
  <c r="I40" i="6"/>
  <c r="I41" i="6"/>
  <c r="I42" i="6"/>
  <c r="I43" i="6"/>
  <c r="I44" i="6"/>
  <c r="I45" i="6"/>
  <c r="I46" i="6"/>
  <c r="I47" i="6"/>
  <c r="I48" i="6"/>
  <c r="I36" i="7"/>
  <c r="I37" i="7"/>
  <c r="I38" i="7"/>
  <c r="I40" i="7"/>
  <c r="I41" i="7"/>
  <c r="I42" i="7"/>
  <c r="I43" i="7"/>
  <c r="I44" i="7"/>
  <c r="I45" i="7"/>
  <c r="I46" i="7"/>
  <c r="I47" i="7"/>
  <c r="I48" i="7"/>
  <c r="I36" i="8"/>
  <c r="I37" i="8"/>
  <c r="I38" i="8"/>
  <c r="I40" i="8"/>
  <c r="I41" i="8"/>
  <c r="I42" i="8"/>
  <c r="I43" i="8"/>
  <c r="I44" i="8"/>
  <c r="I45" i="8"/>
  <c r="I46" i="8"/>
  <c r="I47" i="8"/>
  <c r="I48" i="8"/>
  <c r="I36" i="9"/>
  <c r="I37" i="9"/>
  <c r="I38" i="9"/>
  <c r="I40" i="9"/>
  <c r="I41" i="9"/>
  <c r="I42" i="9"/>
  <c r="I43" i="9"/>
  <c r="I44" i="9"/>
  <c r="I45" i="9"/>
  <c r="I46" i="9"/>
  <c r="I47" i="9"/>
  <c r="I48" i="9"/>
  <c r="I36" i="1"/>
  <c r="C11" i="3" s="1"/>
  <c r="I37" i="1"/>
  <c r="C12" i="3" s="1"/>
  <c r="I38" i="1"/>
  <c r="C13" i="3" s="1"/>
  <c r="I40" i="1"/>
  <c r="C15" i="3" s="1"/>
  <c r="I41" i="1"/>
  <c r="C16" i="3" s="1"/>
  <c r="I42" i="1"/>
  <c r="C17" i="3" s="1"/>
  <c r="I43" i="1"/>
  <c r="C18" i="3" s="1"/>
  <c r="I44" i="1"/>
  <c r="C19" i="3" s="1"/>
  <c r="I45" i="1"/>
  <c r="C20" i="3" s="1"/>
  <c r="I46" i="1"/>
  <c r="C21" i="3" s="1"/>
  <c r="I47" i="1"/>
  <c r="C22" i="3" s="1"/>
  <c r="I48" i="1"/>
  <c r="C23" i="3" s="1"/>
  <c r="I35" i="10"/>
  <c r="I35" i="11"/>
  <c r="I35" i="12"/>
  <c r="I35" i="13"/>
  <c r="I35" i="14"/>
  <c r="I35" i="4"/>
  <c r="I35" i="5"/>
  <c r="I35" i="6"/>
  <c r="I35" i="7"/>
  <c r="I35" i="8"/>
  <c r="I35" i="9"/>
  <c r="I35" i="1"/>
  <c r="C10" i="3" s="1"/>
  <c r="D96" i="10"/>
  <c r="D95" i="10"/>
  <c r="D94" i="10"/>
  <c r="D93" i="10"/>
  <c r="D92" i="10"/>
  <c r="D91" i="10"/>
  <c r="D90" i="10"/>
  <c r="E90" i="10" s="1"/>
  <c r="D88" i="10"/>
  <c r="D87" i="10"/>
  <c r="D86" i="10"/>
  <c r="D85" i="10"/>
  <c r="D84" i="10"/>
  <c r="D83" i="10"/>
  <c r="E82" i="10"/>
  <c r="D82" i="10"/>
  <c r="D80" i="10"/>
  <c r="D79" i="10"/>
  <c r="D78" i="10"/>
  <c r="D77" i="10"/>
  <c r="D76" i="10"/>
  <c r="D75" i="10"/>
  <c r="D74" i="10"/>
  <c r="E74" i="10" s="1"/>
  <c r="D72" i="10"/>
  <c r="D71" i="10"/>
  <c r="D70" i="10"/>
  <c r="D69" i="10"/>
  <c r="D68" i="10"/>
  <c r="D67" i="10"/>
  <c r="D66" i="10"/>
  <c r="E66" i="10" s="1"/>
  <c r="D64" i="10"/>
  <c r="D63" i="10"/>
  <c r="D62" i="10"/>
  <c r="D61" i="10"/>
  <c r="D60" i="10"/>
  <c r="D59" i="10"/>
  <c r="D58" i="10"/>
  <c r="E58" i="10" s="1"/>
  <c r="D56" i="10"/>
  <c r="D55" i="10"/>
  <c r="D54" i="10"/>
  <c r="D53" i="10"/>
  <c r="D52" i="10"/>
  <c r="D51" i="10"/>
  <c r="D50" i="10"/>
  <c r="E50" i="10" s="1"/>
  <c r="D48" i="10"/>
  <c r="D47" i="10"/>
  <c r="D46" i="10"/>
  <c r="D45" i="10"/>
  <c r="D44" i="10"/>
  <c r="D43" i="10"/>
  <c r="D42" i="10"/>
  <c r="D41" i="10"/>
  <c r="E41" i="10" s="1"/>
  <c r="D39" i="10"/>
  <c r="D38" i="10"/>
  <c r="E35" i="10" s="1"/>
  <c r="D37" i="10"/>
  <c r="D36" i="10"/>
  <c r="D35" i="10"/>
  <c r="D96" i="11"/>
  <c r="D95" i="11"/>
  <c r="D94" i="11"/>
  <c r="D93" i="11"/>
  <c r="D92" i="11"/>
  <c r="D91" i="11"/>
  <c r="D90" i="11"/>
  <c r="E90" i="11" s="1"/>
  <c r="D88" i="11"/>
  <c r="D87" i="11"/>
  <c r="D86" i="11"/>
  <c r="D85" i="11"/>
  <c r="D84" i="11"/>
  <c r="D83" i="11"/>
  <c r="D82" i="11"/>
  <c r="E82" i="11" s="1"/>
  <c r="D80" i="11"/>
  <c r="D79" i="11"/>
  <c r="D78" i="11"/>
  <c r="D77" i="11"/>
  <c r="D76" i="11"/>
  <c r="D75" i="11"/>
  <c r="E74" i="11"/>
  <c r="D74" i="11"/>
  <c r="D72" i="11"/>
  <c r="D71" i="11"/>
  <c r="D70" i="11"/>
  <c r="D69" i="11"/>
  <c r="D68" i="11"/>
  <c r="D67" i="11"/>
  <c r="D66" i="11"/>
  <c r="E66" i="11" s="1"/>
  <c r="D64" i="11"/>
  <c r="D63" i="11"/>
  <c r="D62" i="11"/>
  <c r="D61" i="11"/>
  <c r="D60" i="11"/>
  <c r="E58" i="11" s="1"/>
  <c r="D59" i="11"/>
  <c r="D58" i="11"/>
  <c r="D56" i="11"/>
  <c r="D55" i="11"/>
  <c r="D54" i="11"/>
  <c r="D53" i="11"/>
  <c r="D52" i="11"/>
  <c r="D51" i="11"/>
  <c r="D50" i="11"/>
  <c r="E50" i="11" s="1"/>
  <c r="D48" i="11"/>
  <c r="D47" i="11"/>
  <c r="D46" i="11"/>
  <c r="D45" i="11"/>
  <c r="D44" i="11"/>
  <c r="D43" i="11"/>
  <c r="D42" i="11"/>
  <c r="D41" i="11"/>
  <c r="E41" i="11" s="1"/>
  <c r="D39" i="11"/>
  <c r="D38" i="11"/>
  <c r="D37" i="11"/>
  <c r="D36" i="11"/>
  <c r="D35" i="11"/>
  <c r="E35" i="11" s="1"/>
  <c r="D96" i="12"/>
  <c r="D95" i="12"/>
  <c r="D94" i="12"/>
  <c r="D93" i="12"/>
  <c r="D92" i="12"/>
  <c r="D91" i="12"/>
  <c r="D90" i="12"/>
  <c r="E90" i="12" s="1"/>
  <c r="D88" i="12"/>
  <c r="D87" i="12"/>
  <c r="D86" i="12"/>
  <c r="D85" i="12"/>
  <c r="D84" i="12"/>
  <c r="D83" i="12"/>
  <c r="D82" i="12"/>
  <c r="E82" i="12" s="1"/>
  <c r="D80" i="12"/>
  <c r="D79" i="12"/>
  <c r="D78" i="12"/>
  <c r="D77" i="12"/>
  <c r="D76" i="12"/>
  <c r="D75" i="12"/>
  <c r="D74" i="12"/>
  <c r="E74" i="12" s="1"/>
  <c r="D72" i="12"/>
  <c r="D71" i="12"/>
  <c r="D70" i="12"/>
  <c r="D69" i="12"/>
  <c r="D68" i="12"/>
  <c r="D67" i="12"/>
  <c r="E66" i="12"/>
  <c r="D66" i="12"/>
  <c r="D64" i="12"/>
  <c r="D63" i="12"/>
  <c r="D62" i="12"/>
  <c r="D61" i="12"/>
  <c r="D60" i="12"/>
  <c r="D59" i="12"/>
  <c r="D58" i="12"/>
  <c r="E58" i="12" s="1"/>
  <c r="D56" i="12"/>
  <c r="D55" i="12"/>
  <c r="D54" i="12"/>
  <c r="D53" i="12"/>
  <c r="D52" i="12"/>
  <c r="E50" i="12" s="1"/>
  <c r="D51" i="12"/>
  <c r="D50" i="12"/>
  <c r="D48" i="12"/>
  <c r="D47" i="12"/>
  <c r="D46" i="12"/>
  <c r="D45" i="12"/>
  <c r="D44" i="12"/>
  <c r="D43" i="12"/>
  <c r="D42" i="12"/>
  <c r="D41" i="12"/>
  <c r="E41" i="12" s="1"/>
  <c r="D39" i="12"/>
  <c r="D38" i="12"/>
  <c r="D37" i="12"/>
  <c r="D36" i="12"/>
  <c r="E35" i="12" s="1"/>
  <c r="D35" i="12"/>
  <c r="D96" i="13"/>
  <c r="D95" i="13"/>
  <c r="D94" i="13"/>
  <c r="D93" i="13"/>
  <c r="D92" i="13"/>
  <c r="D91" i="13"/>
  <c r="D90" i="13"/>
  <c r="E90" i="13" s="1"/>
  <c r="D88" i="13"/>
  <c r="D87" i="13"/>
  <c r="D86" i="13"/>
  <c r="D85" i="13"/>
  <c r="D84" i="13"/>
  <c r="D83" i="13"/>
  <c r="D82" i="13"/>
  <c r="E82" i="13" s="1"/>
  <c r="D80" i="13"/>
  <c r="D79" i="13"/>
  <c r="D78" i="13"/>
  <c r="D77" i="13"/>
  <c r="D76" i="13"/>
  <c r="D75" i="13"/>
  <c r="D74" i="13"/>
  <c r="E74" i="13" s="1"/>
  <c r="D72" i="13"/>
  <c r="D71" i="13"/>
  <c r="D70" i="13"/>
  <c r="D69" i="13"/>
  <c r="D68" i="13"/>
  <c r="D67" i="13"/>
  <c r="D66" i="13"/>
  <c r="E66" i="13" s="1"/>
  <c r="D64" i="13"/>
  <c r="D63" i="13"/>
  <c r="D62" i="13"/>
  <c r="D61" i="13"/>
  <c r="D60" i="13"/>
  <c r="D59" i="13"/>
  <c r="E58" i="13"/>
  <c r="D58" i="13"/>
  <c r="D56" i="13"/>
  <c r="D55" i="13"/>
  <c r="D54" i="13"/>
  <c r="D53" i="13"/>
  <c r="D52" i="13"/>
  <c r="D51" i="13"/>
  <c r="D50" i="13"/>
  <c r="E50" i="13" s="1"/>
  <c r="D48" i="13"/>
  <c r="D47" i="13"/>
  <c r="D46" i="13"/>
  <c r="D45" i="13"/>
  <c r="D44" i="13"/>
  <c r="D43" i="13"/>
  <c r="D42" i="13"/>
  <c r="E41" i="13" s="1"/>
  <c r="D41" i="13"/>
  <c r="D39" i="13"/>
  <c r="D38" i="13"/>
  <c r="D37" i="13"/>
  <c r="E35" i="13" s="1"/>
  <c r="D36" i="13"/>
  <c r="D35" i="13"/>
  <c r="D96" i="14"/>
  <c r="D95" i="14"/>
  <c r="D94" i="14"/>
  <c r="D93" i="14"/>
  <c r="D92" i="14"/>
  <c r="D91" i="14"/>
  <c r="E90" i="14" s="1"/>
  <c r="D90" i="14"/>
  <c r="D88" i="14"/>
  <c r="D87" i="14"/>
  <c r="D86" i="14"/>
  <c r="D85" i="14"/>
  <c r="D84" i="14"/>
  <c r="D83" i="14"/>
  <c r="D82" i="14"/>
  <c r="E82" i="14" s="1"/>
  <c r="D80" i="14"/>
  <c r="D79" i="14"/>
  <c r="D78" i="14"/>
  <c r="D77" i="14"/>
  <c r="D76" i="14"/>
  <c r="D75" i="14"/>
  <c r="D74" i="14"/>
  <c r="E74" i="14" s="1"/>
  <c r="D72" i="14"/>
  <c r="D71" i="14"/>
  <c r="D70" i="14"/>
  <c r="D69" i="14"/>
  <c r="D68" i="14"/>
  <c r="D67" i="14"/>
  <c r="D66" i="14"/>
  <c r="E66" i="14" s="1"/>
  <c r="D64" i="14"/>
  <c r="D63" i="14"/>
  <c r="D62" i="14"/>
  <c r="D61" i="14"/>
  <c r="D60" i="14"/>
  <c r="D59" i="14"/>
  <c r="D58" i="14"/>
  <c r="E58" i="14" s="1"/>
  <c r="D56" i="14"/>
  <c r="D55" i="14"/>
  <c r="D54" i="14"/>
  <c r="D53" i="14"/>
  <c r="D52" i="14"/>
  <c r="D51" i="14"/>
  <c r="E50" i="14"/>
  <c r="D50" i="14"/>
  <c r="D48" i="14"/>
  <c r="D47" i="14"/>
  <c r="D46" i="14"/>
  <c r="D45" i="14"/>
  <c r="D44" i="14"/>
  <c r="D43" i="14"/>
  <c r="E41" i="14" s="1"/>
  <c r="D42" i="14"/>
  <c r="D41" i="14"/>
  <c r="D39" i="14"/>
  <c r="D38" i="14"/>
  <c r="D37" i="14"/>
  <c r="D36" i="14"/>
  <c r="D35" i="14"/>
  <c r="E35" i="14" s="1"/>
  <c r="D96" i="4"/>
  <c r="D95" i="4"/>
  <c r="D94" i="4"/>
  <c r="D93" i="4"/>
  <c r="D92" i="4"/>
  <c r="E90" i="4" s="1"/>
  <c r="D91" i="4"/>
  <c r="D90" i="4"/>
  <c r="D88" i="4"/>
  <c r="D87" i="4"/>
  <c r="D86" i="4"/>
  <c r="D85" i="4"/>
  <c r="D84" i="4"/>
  <c r="D83" i="4"/>
  <c r="D82" i="4"/>
  <c r="E82" i="4" s="1"/>
  <c r="D80" i="4"/>
  <c r="D79" i="4"/>
  <c r="D78" i="4"/>
  <c r="D77" i="4"/>
  <c r="D76" i="4"/>
  <c r="D75" i="4"/>
  <c r="D74" i="4"/>
  <c r="E74" i="4" s="1"/>
  <c r="D72" i="4"/>
  <c r="D71" i="4"/>
  <c r="D70" i="4"/>
  <c r="D69" i="4"/>
  <c r="D68" i="4"/>
  <c r="D67" i="4"/>
  <c r="D66" i="4"/>
  <c r="E66" i="4" s="1"/>
  <c r="D64" i="4"/>
  <c r="D63" i="4"/>
  <c r="D62" i="4"/>
  <c r="D61" i="4"/>
  <c r="D60" i="4"/>
  <c r="D59" i="4"/>
  <c r="E58" i="4"/>
  <c r="D58" i="4"/>
  <c r="D56" i="4"/>
  <c r="D55" i="4"/>
  <c r="D54" i="4"/>
  <c r="D53" i="4"/>
  <c r="D52" i="4"/>
  <c r="D51" i="4"/>
  <c r="E50" i="4" s="1"/>
  <c r="D50" i="4"/>
  <c r="D48" i="4"/>
  <c r="D47" i="4"/>
  <c r="D46" i="4"/>
  <c r="D45" i="4"/>
  <c r="D44" i="4"/>
  <c r="E41" i="4" s="1"/>
  <c r="D43" i="4"/>
  <c r="D42" i="4"/>
  <c r="D41" i="4"/>
  <c r="D39" i="4"/>
  <c r="D38" i="4"/>
  <c r="D37" i="4"/>
  <c r="D36" i="4"/>
  <c r="D35" i="4"/>
  <c r="E35" i="4" s="1"/>
  <c r="D96" i="5"/>
  <c r="D95" i="5"/>
  <c r="D94" i="5"/>
  <c r="D93" i="5"/>
  <c r="E90" i="5" s="1"/>
  <c r="D92" i="5"/>
  <c r="D91" i="5"/>
  <c r="D90" i="5"/>
  <c r="D88" i="5"/>
  <c r="D87" i="5"/>
  <c r="D86" i="5"/>
  <c r="D85" i="5"/>
  <c r="D84" i="5"/>
  <c r="D83" i="5"/>
  <c r="E82" i="5" s="1"/>
  <c r="D82" i="5"/>
  <c r="D80" i="5"/>
  <c r="D79" i="5"/>
  <c r="D78" i="5"/>
  <c r="D77" i="5"/>
  <c r="D76" i="5"/>
  <c r="D75" i="5"/>
  <c r="D74" i="5"/>
  <c r="E74" i="5" s="1"/>
  <c r="D72" i="5"/>
  <c r="D71" i="5"/>
  <c r="D70" i="5"/>
  <c r="D69" i="5"/>
  <c r="D68" i="5"/>
  <c r="D67" i="5"/>
  <c r="D66" i="5"/>
  <c r="E66" i="5" s="1"/>
  <c r="D64" i="5"/>
  <c r="D63" i="5"/>
  <c r="D62" i="5"/>
  <c r="D61" i="5"/>
  <c r="D60" i="5"/>
  <c r="D59" i="5"/>
  <c r="D58" i="5"/>
  <c r="E58" i="5" s="1"/>
  <c r="D56" i="5"/>
  <c r="D55" i="5"/>
  <c r="D54" i="5"/>
  <c r="D53" i="5"/>
  <c r="D52" i="5"/>
  <c r="D51" i="5"/>
  <c r="E50" i="5"/>
  <c r="D50" i="5"/>
  <c r="D48" i="5"/>
  <c r="D47" i="5"/>
  <c r="D46" i="5"/>
  <c r="D45" i="5"/>
  <c r="D44" i="5"/>
  <c r="D43" i="5"/>
  <c r="D42" i="5"/>
  <c r="D41" i="5"/>
  <c r="E41" i="5" s="1"/>
  <c r="D39" i="5"/>
  <c r="D38" i="5"/>
  <c r="D37" i="5"/>
  <c r="D36" i="5"/>
  <c r="E35" i="5" s="1"/>
  <c r="D35" i="5"/>
  <c r="D96" i="6"/>
  <c r="D95" i="6"/>
  <c r="D94" i="6"/>
  <c r="D93" i="6"/>
  <c r="D92" i="6"/>
  <c r="D91" i="6"/>
  <c r="D90" i="6"/>
  <c r="E90" i="6" s="1"/>
  <c r="D88" i="6"/>
  <c r="D87" i="6"/>
  <c r="D86" i="6"/>
  <c r="D85" i="6"/>
  <c r="E82" i="6" s="1"/>
  <c r="D84" i="6"/>
  <c r="D83" i="6"/>
  <c r="D82" i="6"/>
  <c r="D80" i="6"/>
  <c r="D79" i="6"/>
  <c r="D78" i="6"/>
  <c r="D77" i="6"/>
  <c r="D76" i="6"/>
  <c r="D75" i="6"/>
  <c r="D74" i="6"/>
  <c r="E74" i="6" s="1"/>
  <c r="D72" i="6"/>
  <c r="D71" i="6"/>
  <c r="D70" i="6"/>
  <c r="D69" i="6"/>
  <c r="D68" i="6"/>
  <c r="D67" i="6"/>
  <c r="D66" i="6"/>
  <c r="E66" i="6" s="1"/>
  <c r="D64" i="6"/>
  <c r="D63" i="6"/>
  <c r="D62" i="6"/>
  <c r="D61" i="6"/>
  <c r="D60" i="6"/>
  <c r="D59" i="6"/>
  <c r="D58" i="6"/>
  <c r="E58" i="6" s="1"/>
  <c r="D56" i="6"/>
  <c r="D55" i="6"/>
  <c r="D54" i="6"/>
  <c r="D53" i="6"/>
  <c r="D52" i="6"/>
  <c r="D51" i="6"/>
  <c r="D50" i="6"/>
  <c r="E50" i="6" s="1"/>
  <c r="D48" i="6"/>
  <c r="D47" i="6"/>
  <c r="D46" i="6"/>
  <c r="D45" i="6"/>
  <c r="D44" i="6"/>
  <c r="D43" i="6"/>
  <c r="D42" i="6"/>
  <c r="E41" i="6" s="1"/>
  <c r="D41" i="6"/>
  <c r="D39" i="6"/>
  <c r="D38" i="6"/>
  <c r="D37" i="6"/>
  <c r="D36" i="6"/>
  <c r="E35" i="6"/>
  <c r="D35" i="6"/>
  <c r="D96" i="7"/>
  <c r="D95" i="7"/>
  <c r="D94" i="7"/>
  <c r="D93" i="7"/>
  <c r="D92" i="7"/>
  <c r="D91" i="7"/>
  <c r="E90" i="7" s="1"/>
  <c r="D90" i="7"/>
  <c r="D88" i="7"/>
  <c r="D87" i="7"/>
  <c r="D86" i="7"/>
  <c r="D85" i="7"/>
  <c r="D84" i="7"/>
  <c r="D83" i="7"/>
  <c r="D82" i="7"/>
  <c r="E82" i="7" s="1"/>
  <c r="D80" i="7"/>
  <c r="D79" i="7"/>
  <c r="D78" i="7"/>
  <c r="D77" i="7"/>
  <c r="E74" i="7" s="1"/>
  <c r="D76" i="7"/>
  <c r="D75" i="7"/>
  <c r="D74" i="7"/>
  <c r="D72" i="7"/>
  <c r="D71" i="7"/>
  <c r="D70" i="7"/>
  <c r="D69" i="7"/>
  <c r="D68" i="7"/>
  <c r="D67" i="7"/>
  <c r="D66" i="7"/>
  <c r="E66" i="7" s="1"/>
  <c r="D64" i="7"/>
  <c r="D63" i="7"/>
  <c r="D62" i="7"/>
  <c r="D61" i="7"/>
  <c r="D60" i="7"/>
  <c r="D59" i="7"/>
  <c r="D58" i="7"/>
  <c r="E58" i="7" s="1"/>
  <c r="D56" i="7"/>
  <c r="D55" i="7"/>
  <c r="D54" i="7"/>
  <c r="D53" i="7"/>
  <c r="D52" i="7"/>
  <c r="D51" i="7"/>
  <c r="D50" i="7"/>
  <c r="E50" i="7" s="1"/>
  <c r="D48" i="7"/>
  <c r="D47" i="7"/>
  <c r="D46" i="7"/>
  <c r="D45" i="7"/>
  <c r="D44" i="7"/>
  <c r="D43" i="7"/>
  <c r="D42" i="7"/>
  <c r="E41" i="7"/>
  <c r="D41" i="7"/>
  <c r="D39" i="7"/>
  <c r="D38" i="7"/>
  <c r="D37" i="7"/>
  <c r="D36" i="7"/>
  <c r="D35" i="7"/>
  <c r="E35" i="7" s="1"/>
  <c r="D96" i="8"/>
  <c r="D95" i="8"/>
  <c r="D94" i="8"/>
  <c r="D93" i="8"/>
  <c r="D92" i="8"/>
  <c r="D91" i="8"/>
  <c r="E90" i="8"/>
  <c r="D90" i="8"/>
  <c r="D88" i="8"/>
  <c r="D87" i="8"/>
  <c r="D86" i="8"/>
  <c r="D85" i="8"/>
  <c r="D84" i="8"/>
  <c r="D83" i="8"/>
  <c r="D82" i="8"/>
  <c r="E82" i="8" s="1"/>
  <c r="D80" i="8"/>
  <c r="D79" i="8"/>
  <c r="D78" i="8"/>
  <c r="D77" i="8"/>
  <c r="D76" i="8"/>
  <c r="D75" i="8"/>
  <c r="D74" i="8"/>
  <c r="E74" i="8" s="1"/>
  <c r="D72" i="8"/>
  <c r="D71" i="8"/>
  <c r="D70" i="8"/>
  <c r="D69" i="8"/>
  <c r="E66" i="8" s="1"/>
  <c r="D68" i="8"/>
  <c r="D67" i="8"/>
  <c r="D66" i="8"/>
  <c r="D64" i="8"/>
  <c r="D63" i="8"/>
  <c r="D62" i="8"/>
  <c r="D61" i="8"/>
  <c r="D60" i="8"/>
  <c r="D59" i="8"/>
  <c r="E58" i="8" s="1"/>
  <c r="D58" i="8"/>
  <c r="D56" i="8"/>
  <c r="D55" i="8"/>
  <c r="D54" i="8"/>
  <c r="D53" i="8"/>
  <c r="D52" i="8"/>
  <c r="D51" i="8"/>
  <c r="D50" i="8"/>
  <c r="E50" i="8" s="1"/>
  <c r="D48" i="8"/>
  <c r="D47" i="8"/>
  <c r="D46" i="8"/>
  <c r="D45" i="8"/>
  <c r="D44" i="8"/>
  <c r="D43" i="8"/>
  <c r="D42" i="8"/>
  <c r="D41" i="8"/>
  <c r="E41" i="8" s="1"/>
  <c r="D39" i="8"/>
  <c r="D38" i="8"/>
  <c r="D37" i="8"/>
  <c r="D36" i="8"/>
  <c r="D35" i="8"/>
  <c r="E35" i="8" s="1"/>
  <c r="D96" i="9"/>
  <c r="D95" i="9"/>
  <c r="D94" i="9"/>
  <c r="D93" i="9"/>
  <c r="D92" i="9"/>
  <c r="D91" i="9"/>
  <c r="D90" i="9"/>
  <c r="E90" i="9" s="1"/>
  <c r="D88" i="9"/>
  <c r="D87" i="9"/>
  <c r="D86" i="9"/>
  <c r="D85" i="9"/>
  <c r="D84" i="9"/>
  <c r="D83" i="9"/>
  <c r="E82" i="9"/>
  <c r="D82" i="9"/>
  <c r="D80" i="9"/>
  <c r="D79" i="9"/>
  <c r="D78" i="9"/>
  <c r="D77" i="9"/>
  <c r="D76" i="9"/>
  <c r="D75" i="9"/>
  <c r="D74" i="9"/>
  <c r="E74" i="9" s="1"/>
  <c r="D72" i="9"/>
  <c r="D71" i="9"/>
  <c r="D70" i="9"/>
  <c r="D69" i="9"/>
  <c r="D68" i="9"/>
  <c r="D67" i="9"/>
  <c r="D66" i="9"/>
  <c r="E66" i="9" s="1"/>
  <c r="D64" i="9"/>
  <c r="D63" i="9"/>
  <c r="D62" i="9"/>
  <c r="D61" i="9"/>
  <c r="E58" i="9" s="1"/>
  <c r="D60" i="9"/>
  <c r="D59" i="9"/>
  <c r="D58" i="9"/>
  <c r="D56" i="9"/>
  <c r="D55" i="9"/>
  <c r="D54" i="9"/>
  <c r="D53" i="9"/>
  <c r="D52" i="9"/>
  <c r="D51" i="9"/>
  <c r="E50" i="9" s="1"/>
  <c r="D50" i="9"/>
  <c r="D48" i="9"/>
  <c r="D47" i="9"/>
  <c r="D46" i="9"/>
  <c r="D45" i="9"/>
  <c r="D44" i="9"/>
  <c r="D43" i="9"/>
  <c r="D42" i="9"/>
  <c r="D41" i="9"/>
  <c r="E41" i="9" s="1"/>
  <c r="D39" i="9"/>
  <c r="D38" i="9"/>
  <c r="D37" i="9"/>
  <c r="D36" i="9"/>
  <c r="D35" i="9"/>
  <c r="E35" i="9" s="1"/>
  <c r="D96" i="1"/>
  <c r="D95" i="1"/>
  <c r="D94" i="1"/>
  <c r="D93" i="1"/>
  <c r="D92" i="1"/>
  <c r="D91" i="1"/>
  <c r="D90" i="1"/>
  <c r="E90" i="1" s="1"/>
  <c r="D88" i="1"/>
  <c r="D87" i="1"/>
  <c r="D86" i="1"/>
  <c r="D85" i="1"/>
  <c r="D84" i="1"/>
  <c r="D83" i="1"/>
  <c r="D82" i="1"/>
  <c r="E82" i="1" s="1"/>
  <c r="D80" i="1"/>
  <c r="D79" i="1"/>
  <c r="D78" i="1"/>
  <c r="D77" i="1"/>
  <c r="D76" i="1"/>
  <c r="D75" i="1"/>
  <c r="E74" i="1"/>
  <c r="D74" i="1"/>
  <c r="D72" i="1"/>
  <c r="D71" i="1"/>
  <c r="D70" i="1"/>
  <c r="D69" i="1"/>
  <c r="D68" i="1"/>
  <c r="D67" i="1"/>
  <c r="D66" i="1"/>
  <c r="E66" i="1" s="1"/>
  <c r="D64" i="1"/>
  <c r="D63" i="1"/>
  <c r="D62" i="1"/>
  <c r="D61" i="1"/>
  <c r="D60" i="1"/>
  <c r="D59" i="1"/>
  <c r="D58" i="1"/>
  <c r="E58" i="1" s="1"/>
  <c r="D56" i="1"/>
  <c r="D55" i="1"/>
  <c r="D54" i="1"/>
  <c r="D53" i="1"/>
  <c r="E50" i="1" s="1"/>
  <c r="D52" i="1"/>
  <c r="D51" i="1"/>
  <c r="D50" i="1"/>
  <c r="D48" i="1"/>
  <c r="D47" i="1"/>
  <c r="D46" i="1"/>
  <c r="D45" i="1"/>
  <c r="D44" i="1"/>
  <c r="D43" i="1"/>
  <c r="D42" i="1"/>
  <c r="D41" i="1"/>
  <c r="E41" i="1" s="1"/>
  <c r="D39" i="1"/>
  <c r="D38" i="1"/>
  <c r="D37" i="1"/>
  <c r="D36" i="1"/>
  <c r="E35" i="1" s="1"/>
  <c r="D35" i="1"/>
  <c r="D58" i="2" l="1"/>
  <c r="D59" i="2"/>
  <c r="D60" i="2"/>
  <c r="D61" i="2"/>
  <c r="D62" i="2"/>
  <c r="D63" i="2"/>
  <c r="D64" i="2"/>
  <c r="D66" i="2"/>
  <c r="D67" i="2"/>
  <c r="D68" i="2"/>
  <c r="D69" i="2"/>
  <c r="D70" i="2"/>
  <c r="D71" i="2"/>
  <c r="D72" i="2"/>
  <c r="D74" i="2"/>
  <c r="D75" i="2"/>
  <c r="D76" i="2"/>
  <c r="D77" i="2"/>
  <c r="D78" i="2"/>
  <c r="D79" i="2"/>
  <c r="D80" i="2"/>
  <c r="D82" i="2"/>
  <c r="D83" i="2"/>
  <c r="D84" i="2"/>
  <c r="D85" i="2"/>
  <c r="D86" i="2"/>
  <c r="D87" i="2"/>
  <c r="D88" i="2"/>
  <c r="D90" i="2"/>
  <c r="D91" i="2"/>
  <c r="D92" i="2"/>
  <c r="D93" i="2"/>
  <c r="D94" i="2"/>
  <c r="D95" i="2"/>
  <c r="D96" i="2"/>
  <c r="D42" i="2"/>
  <c r="D43" i="2"/>
  <c r="D44" i="2"/>
  <c r="D45" i="2"/>
  <c r="D46" i="2"/>
  <c r="D47" i="2"/>
  <c r="D48" i="2"/>
  <c r="D50" i="2"/>
  <c r="D51" i="2"/>
  <c r="D52" i="2"/>
  <c r="D53" i="2"/>
  <c r="D54" i="2"/>
  <c r="D55" i="2"/>
  <c r="D56" i="2"/>
  <c r="D41" i="2"/>
  <c r="D36" i="2"/>
  <c r="D37" i="2"/>
  <c r="D38" i="2"/>
  <c r="D39" i="2"/>
  <c r="D35" i="2"/>
  <c r="M4" i="2"/>
  <c r="B35" i="2" l="1"/>
  <c r="B35" i="14"/>
  <c r="B35" i="4"/>
  <c r="B35" i="5"/>
  <c r="B35" i="6"/>
  <c r="B35" i="7"/>
  <c r="B35" i="10"/>
  <c r="B35" i="11"/>
  <c r="B35" i="8"/>
  <c r="B35" i="1"/>
  <c r="B35" i="12"/>
  <c r="B35" i="9"/>
  <c r="B35" i="13"/>
  <c r="E50" i="2"/>
  <c r="E82" i="2"/>
  <c r="E90" i="2"/>
  <c r="E74" i="2"/>
  <c r="E66" i="2"/>
  <c r="E58" i="2"/>
  <c r="E41" i="2"/>
  <c r="E35" i="2"/>
  <c r="M59" i="2"/>
  <c r="M52" i="2"/>
  <c r="M44" i="2"/>
  <c r="M36" i="2"/>
  <c r="M28" i="2"/>
  <c r="M19" i="2"/>
  <c r="M10" i="2"/>
  <c r="F5" i="3"/>
  <c r="I4" i="12"/>
  <c r="F4" i="3"/>
  <c r="G5" i="3"/>
  <c r="I4" i="13"/>
  <c r="G4" i="3"/>
  <c r="H5" i="3"/>
  <c r="I4" i="14"/>
  <c r="H4" i="3"/>
  <c r="E5" i="3"/>
  <c r="I4" i="11"/>
  <c r="E4" i="3"/>
  <c r="D5" i="3"/>
  <c r="I4" i="10"/>
  <c r="D4" i="3"/>
  <c r="N5" i="3"/>
  <c r="I4" i="9"/>
  <c r="N4" i="3"/>
  <c r="N6" i="3" s="1"/>
  <c r="M5" i="3"/>
  <c r="I4" i="8"/>
  <c r="M4" i="3"/>
  <c r="D4" i="4"/>
  <c r="L5" i="3"/>
  <c r="I4" i="7"/>
  <c r="L4" i="3"/>
  <c r="K5" i="3"/>
  <c r="I4" i="6"/>
  <c r="K4" i="3"/>
  <c r="J5" i="3"/>
  <c r="I4" i="5"/>
  <c r="J4" i="3"/>
  <c r="I5" i="3"/>
  <c r="I4" i="4"/>
  <c r="I4" i="3"/>
  <c r="F6" i="3" l="1"/>
  <c r="I6" i="3"/>
  <c r="D6" i="3"/>
  <c r="G6" i="3"/>
  <c r="B74" i="2"/>
  <c r="B74" i="10"/>
  <c r="B74" i="7"/>
  <c r="B74" i="11"/>
  <c r="B74" i="8"/>
  <c r="B74" i="12"/>
  <c r="B74" i="9"/>
  <c r="B74" i="13"/>
  <c r="B74" i="1"/>
  <c r="B74" i="14"/>
  <c r="B74" i="4"/>
  <c r="B74" i="5"/>
  <c r="B74" i="6"/>
  <c r="B82" i="2"/>
  <c r="B82" i="14"/>
  <c r="B82" i="4"/>
  <c r="B82" i="5"/>
  <c r="B82" i="6"/>
  <c r="B82" i="10"/>
  <c r="B82" i="7"/>
  <c r="B82" i="11"/>
  <c r="B82" i="8"/>
  <c r="B82" i="13"/>
  <c r="B82" i="12"/>
  <c r="B82" i="9"/>
  <c r="B82" i="1"/>
  <c r="B90" i="2"/>
  <c r="B90" i="10"/>
  <c r="B90" i="7"/>
  <c r="B90" i="11"/>
  <c r="B90" i="8"/>
  <c r="B90" i="12"/>
  <c r="B90" i="9"/>
  <c r="B90" i="13"/>
  <c r="B90" i="1"/>
  <c r="B90" i="14"/>
  <c r="B90" i="4"/>
  <c r="B90" i="5"/>
  <c r="B90" i="6"/>
  <c r="B41" i="2"/>
  <c r="B41" i="10"/>
  <c r="B41" i="7"/>
  <c r="B41" i="11"/>
  <c r="B41" i="8"/>
  <c r="B41" i="12"/>
  <c r="B41" i="9"/>
  <c r="B41" i="13"/>
  <c r="B41" i="1"/>
  <c r="B41" i="14"/>
  <c r="B41" i="4"/>
  <c r="B41" i="6"/>
  <c r="B41" i="5"/>
  <c r="B50" i="2"/>
  <c r="B50" i="14"/>
  <c r="B50" i="4"/>
  <c r="B50" i="5"/>
  <c r="B50" i="6"/>
  <c r="B50" i="10"/>
  <c r="B50" i="7"/>
  <c r="B50" i="11"/>
  <c r="B50" i="8"/>
  <c r="B50" i="13"/>
  <c r="B50" i="12"/>
  <c r="B50" i="9"/>
  <c r="B50" i="1"/>
  <c r="B58" i="2"/>
  <c r="B58" i="10"/>
  <c r="B58" i="7"/>
  <c r="B58" i="11"/>
  <c r="B58" i="8"/>
  <c r="B58" i="12"/>
  <c r="B58" i="9"/>
  <c r="B58" i="13"/>
  <c r="B58" i="1"/>
  <c r="B58" i="14"/>
  <c r="B58" i="4"/>
  <c r="B58" i="5"/>
  <c r="B58" i="6"/>
  <c r="B66" i="2"/>
  <c r="B66" i="14"/>
  <c r="B66" i="4"/>
  <c r="B66" i="5"/>
  <c r="B66" i="6"/>
  <c r="B66" i="10"/>
  <c r="B66" i="7"/>
  <c r="B66" i="11"/>
  <c r="B66" i="8"/>
  <c r="B66" i="1"/>
  <c r="B66" i="12"/>
  <c r="B66" i="9"/>
  <c r="B66" i="13"/>
  <c r="E6" i="3"/>
  <c r="L6" i="3"/>
  <c r="H6" i="3"/>
  <c r="M6" i="3"/>
  <c r="K6" i="3"/>
  <c r="J6" i="3"/>
  <c r="D6" i="5"/>
  <c r="I3" i="3"/>
  <c r="F5" i="2"/>
  <c r="I4" i="2"/>
  <c r="F4" i="2"/>
  <c r="F3" i="2"/>
  <c r="C5" i="3"/>
  <c r="C4" i="3"/>
  <c r="C3" i="3"/>
  <c r="I4" i="1"/>
  <c r="F3" i="5" l="1"/>
  <c r="J3" i="3" s="1"/>
  <c r="J7" i="3" s="1"/>
  <c r="I7" i="3"/>
  <c r="C6" i="3"/>
  <c r="C7" i="3" s="1"/>
  <c r="F7" i="2"/>
  <c r="D6" i="10"/>
  <c r="F7" i="5" l="1"/>
  <c r="D6" i="6" s="1"/>
  <c r="F3" i="6" s="1"/>
  <c r="F3" i="10"/>
  <c r="D3" i="3" s="1"/>
  <c r="D7" i="3" s="1"/>
  <c r="F7" i="6" l="1"/>
  <c r="D6" i="7" s="1"/>
  <c r="F3" i="7" s="1"/>
  <c r="L3" i="3" s="1"/>
  <c r="L7" i="3" s="1"/>
  <c r="F7" i="10"/>
  <c r="D6" i="11" s="1"/>
  <c r="F3" i="11" s="1"/>
  <c r="K3" i="3"/>
  <c r="K7" i="3" s="1"/>
  <c r="F7" i="11" l="1"/>
  <c r="D6" i="12" s="1"/>
  <c r="F3" i="12" s="1"/>
  <c r="F7" i="12" s="1"/>
  <c r="D6" i="13" s="1"/>
  <c r="E3" i="3"/>
  <c r="E7" i="3" s="1"/>
  <c r="F7" i="7"/>
  <c r="D6" i="8" s="1"/>
  <c r="F3" i="8" s="1"/>
  <c r="F7" i="8" l="1"/>
  <c r="D6" i="9" s="1"/>
  <c r="F3" i="9" s="1"/>
  <c r="F7" i="9" s="1"/>
  <c r="M3" i="3"/>
  <c r="M7" i="3" s="1"/>
  <c r="F3" i="3"/>
  <c r="F7" i="3" s="1"/>
  <c r="F3" i="13"/>
  <c r="F7" i="13" l="1"/>
  <c r="D6" i="14" s="1"/>
  <c r="F3" i="14" s="1"/>
  <c r="G3" i="3"/>
  <c r="G7" i="3" s="1"/>
  <c r="N3" i="3"/>
  <c r="N7" i="3" s="1"/>
  <c r="F7" i="14" l="1"/>
  <c r="H3" i="3"/>
  <c r="H7" i="3" s="1"/>
</calcChain>
</file>

<file path=xl/sharedStrings.xml><?xml version="1.0" encoding="utf-8"?>
<sst xmlns="http://schemas.openxmlformats.org/spreadsheetml/2006/main" count="1294" uniqueCount="158">
  <si>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</si>
  <si>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</si>
  <si>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</si>
  <si>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</si>
  <si>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</si>
  <si>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</si>
  <si>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</si>
  <si>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</si>
  <si>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</si>
  <si>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</si>
  <si>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</si>
  <si>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</si>
  <si>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</si>
  <si>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</si>
  <si>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</si>
  <si>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</si>
  <si>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</si>
  <si>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</si>
  <si>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</si>
  <si>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</si>
  <si>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</si>
  <si>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</si>
  <si>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</si>
  <si>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</si>
  <si>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</si>
  <si>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</si>
  <si>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</si>
  <si>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</si>
  <si>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</si>
  <si>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</si>
  <si>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</si>
  <si>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</si>
  <si>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</si>
  <si>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</si>
  <si>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</si>
  <si>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</si>
  <si>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</si>
  <si>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</si>
  <si>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</si>
  <si>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</si>
  <si>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</si>
  <si>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</si>
  <si>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</si>
  <si>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</si>
  <si>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</si>
  <si>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</si>
  <si>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</si>
  <si>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</si>
  <si>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OUT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</si>
  <si>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</si>
  <si>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</si>
  <si>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</si>
  <si>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</si>
  <si>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</si>
  <si>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</si>
  <si>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</si>
  <si>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</si>
  <si>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</si>
  <si>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</si>
  <si>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</si>
  <si>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</si>
  <si>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</si>
  <si>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</si>
  <si>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</si>
  <si>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</si>
  <si>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</si>
  <si>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</si>
  <si>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</si>
  <si>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</si>
  <si>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</si>
  <si>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</si>
  <si>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</si>
  <si>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</si>
  <si>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</si>
  <si>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</si>
  <si>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</si>
  <si>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</si>
  <si>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</si>
  <si>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</si>
  <si>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</si>
  <si>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</si>
  <si>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Compras online aleatórias</t>
  </si>
  <si>
    <t>Manutenção da casa (lâmpada, pilha, etc)</t>
  </si>
  <si>
    <t>Gastos pessoais (roupas, acessórios)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</si>
  <si>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</si>
  <si>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</si>
  <si>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</si>
  <si>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</si>
  <si>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</si>
  <si>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</si>
  <si>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</si>
  <si>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</si>
  <si>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</si>
  <si>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</si>
  <si>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</si>
  <si>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</si>
  <si>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</si>
  <si>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</si>
  <si>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</si>
  <si>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</si>
  <si>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</si>
  <si>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</si>
  <si>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</si>
  <si>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</si>
  <si>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</si>
  <si>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</si>
  <si>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</si>
  <si>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</si>
  <si>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</si>
  <si>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</si>
  <si>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</si>
  <si>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minha mãe me mandou 100 reias</t>
  </si>
  <si>
    <t>corte de cabelo antes da festa</t>
  </si>
  <si>
    <t>cell, camera</t>
  </si>
  <si>
    <t>curso</t>
  </si>
  <si>
    <t>cartão de memória e adaptador</t>
  </si>
  <si>
    <t>biscoito</t>
  </si>
  <si>
    <t>spotify</t>
  </si>
  <si>
    <t>fone - Marcelles e PH</t>
  </si>
  <si>
    <t>Igreja - evento</t>
  </si>
  <si>
    <t>do mês todo</t>
  </si>
  <si>
    <t>cell</t>
  </si>
  <si>
    <t>camera</t>
  </si>
  <si>
    <t>mochila</t>
  </si>
  <si>
    <t>cadeado</t>
  </si>
  <si>
    <t>plano internet</t>
  </si>
  <si>
    <t>Sub-totais</t>
  </si>
  <si>
    <t>camisa e pastel</t>
  </si>
  <si>
    <t>canetas e biscoito</t>
  </si>
  <si>
    <t>Compras não essenciais</t>
  </si>
  <si>
    <t>Data comemorativa</t>
  </si>
  <si>
    <t>Movel</t>
  </si>
  <si>
    <t>Imprevisto</t>
  </si>
  <si>
    <t>Manutenão</t>
  </si>
  <si>
    <t>Livro</t>
  </si>
  <si>
    <t>Internet</t>
  </si>
  <si>
    <t>Telefone celular</t>
  </si>
  <si>
    <t>Plano de saúde ou odontológico</t>
  </si>
  <si>
    <t>Seguro de vida, carro ou residencial</t>
  </si>
  <si>
    <t>Mensalidade escolar, faculdade ou curso fixo</t>
  </si>
  <si>
    <t>Mensalidade de academia, clube ou associação</t>
  </si>
  <si>
    <t>Aluguel/Habitação</t>
  </si>
  <si>
    <t>Energia</t>
  </si>
  <si>
    <t>Água e esgoto</t>
  </si>
  <si>
    <t>Gás</t>
  </si>
  <si>
    <t>Serviço de assinatura</t>
  </si>
  <si>
    <t xml:space="preserve">Transporte fixo </t>
  </si>
  <si>
    <t>Contribuições ou dízimos</t>
  </si>
  <si>
    <t>Parcelas</t>
  </si>
  <si>
    <t>Subtotal - Gastos fixos</t>
  </si>
  <si>
    <t>Subtotal - gastos fixos</t>
  </si>
  <si>
    <t>Assinatura</t>
  </si>
  <si>
    <t>Sitio - carnaval</t>
  </si>
  <si>
    <t>Total</t>
  </si>
  <si>
    <t>Soma</t>
  </si>
  <si>
    <t>Sub-total-anual</t>
  </si>
  <si>
    <t>Entrada</t>
  </si>
  <si>
    <t>Saidas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</si>
</sst>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2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3" fillId="0" borderId="0" xfId="1" applyFont="1"/>
    <xf numFmtId="44" fontId="3" fillId="0" borderId="9" xfId="1" applyFont="1" applyBorder="1"/>
    <xf numFmtId="0" fontId="0" fillId="3" borderId="9" xfId="0" applyFill="1" applyBorder="1" applyAlignment="1">
      <alignment horizontal="left" vertical="center" indent="1"/>
    </xf>
    <xf numFmtId="44" fontId="3" fillId="0" borderId="28" xfId="1" applyFont="1" applyBorder="1" applyAlignment="1">
      <alignment horizontal="center" vertical="center"/>
    </xf>
    <xf numFmtId="0" fontId="0" fillId="3" borderId="6" xfId="0" applyFill="1" applyBorder="1" applyAlignment="1">
      <alignment horizontal="left" vertical="center" indent="1"/>
    </xf>
    <xf numFmtId="44" fontId="3" fillId="0" borderId="6" xfId="1" applyFont="1" applyBorder="1"/>
    <xf numFmtId="0" fontId="0" fillId="3" borderId="12" xfId="0" applyFill="1" applyBorder="1" applyAlignment="1">
      <alignment horizontal="left" vertical="center" indent="1"/>
    </xf>
    <xf numFmtId="44" fontId="3" fillId="0" borderId="12" xfId="1" applyFont="1" applyBorder="1"/>
    <xf numFmtId="0" fontId="0" fillId="3" borderId="42" xfId="0" applyFill="1" applyBorder="1" applyAlignment="1">
      <alignment horizontal="left" vertical="center" indent="1"/>
    </xf>
    <xf numFmtId="44" fontId="3" fillId="0" borderId="42" xfId="1" applyFont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3" fillId="0" borderId="39" xfId="1" applyFont="1" applyBorder="1" applyAlignment="1">
      <alignment horizontal="center" vertical="center"/>
    </xf>
    <xf numFmtId="44" fontId="3" fillId="0" borderId="20" xfId="1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44" fontId="3" fillId="0" borderId="28" xfId="1" applyFont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44" fontId="0" fillId="0" borderId="34" xfId="1" applyFont="1" applyBorder="1" applyAlignment="1">
      <alignment horizontal="center"/>
    </xf>
    <xf numFmtId="0" fontId="0" fillId="0" borderId="1" xfId="0" applyBorder="1" applyAlignment="1">
      <alignment horizontal="left"/>
    </xf>
    <xf numFmtId="44" fontId="0" fillId="16" borderId="1" xfId="1" applyFont="1" applyFill="1" applyBorder="1" applyAlignment="1">
      <alignment horizontal="center"/>
    </xf>
    <xf numFmtId="0" fontId="4" fillId="3" borderId="45" xfId="0" applyFont="1" applyFill="1" applyBorder="1"/>
    <xf numFmtId="0" fontId="4" fillId="3" borderId="47" xfId="0" applyFont="1" applyFill="1" applyBorder="1"/>
    <xf numFmtId="44" fontId="0" fillId="5" borderId="46" xfId="1" applyFont="1" applyFill="1" applyBorder="1"/>
    <xf numFmtId="44" fontId="0" fillId="5" borderId="48" xfId="1" applyFont="1" applyFill="1" applyBorder="1"/>
    <xf numFmtId="0" fontId="5" fillId="4" borderId="49" xfId="0" applyFont="1" applyFill="1" applyBorder="1" applyAlignment="1">
      <alignment horizontal="center" vertical="center"/>
    </xf>
    <xf numFmtId="0" fontId="5" fillId="4" borderId="50" xfId="0" applyFont="1" applyFill="1" applyBorder="1" applyAlignment="1">
      <alignment horizontal="center" vertical="center"/>
    </xf>
    <xf numFmtId="44" fontId="3" fillId="5" borderId="6" xfId="1" applyFont="1" applyFill="1" applyBorder="1"/>
    <xf numFmtId="44" fontId="3" fillId="5" borderId="9" xfId="1" applyFont="1" applyFill="1" applyBorder="1"/>
    <xf numFmtId="44" fontId="3" fillId="5" borderId="42" xfId="1" applyFont="1" applyFill="1" applyBorder="1"/>
    <xf numFmtId="44" fontId="3" fillId="5" borderId="12" xfId="1" applyFont="1" applyFill="1" applyBorder="1"/>
    <xf numFmtId="44" fontId="6" fillId="19" borderId="39" xfId="1" applyFont="1" applyFill="1" applyBorder="1" applyAlignment="1">
      <alignment horizontal="center" vertical="center"/>
    </xf>
    <xf numFmtId="44" fontId="6" fillId="19" borderId="20" xfId="1" applyFont="1" applyFill="1" applyBorder="1" applyAlignment="1">
      <alignment horizontal="center" vertical="center"/>
    </xf>
    <xf numFmtId="44" fontId="6" fillId="19" borderId="28" xfId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/>
    </xf>
    <xf numFmtId="44" fontId="0" fillId="0" borderId="28" xfId="1" applyFont="1" applyBorder="1" applyAlignment="1">
      <alignment horizontal="center"/>
    </xf>
    <xf numFmtId="44" fontId="0" fillId="20" borderId="34" xfId="1" applyFont="1" applyFill="1" applyBorder="1" applyAlignment="1">
      <alignment horizontal="center"/>
    </xf>
    <xf numFmtId="44" fontId="0" fillId="20" borderId="25" xfId="1" applyFont="1" applyFill="1" applyBorder="1" applyAlignment="1">
      <alignment horizontal="center"/>
    </xf>
    <xf numFmtId="44" fontId="0" fillId="20" borderId="26" xfId="1" applyFont="1" applyFill="1" applyBorder="1" applyAlignment="1">
      <alignment horizontal="center"/>
    </xf>
    <xf numFmtId="44" fontId="0" fillId="20" borderId="28" xfId="1" applyFont="1" applyFill="1" applyBorder="1" applyAlignment="1">
      <alignment horizontal="center"/>
    </xf>
    <xf numFmtId="0" fontId="0" fillId="20" borderId="0" xfId="0" applyFill="1"/>
    <xf numFmtId="44" fontId="0" fillId="7" borderId="1" xfId="1" applyFont="1" applyFill="1" applyBorder="1" applyAlignment="1">
      <alignment horizontal="center"/>
    </xf>
    <xf numFmtId="0" fontId="0" fillId="10" borderId="34" xfId="0" applyFill="1" applyBorder="1"/>
    <xf numFmtId="0" fontId="0" fillId="10" borderId="25" xfId="0" applyFill="1" applyBorder="1"/>
    <xf numFmtId="0" fontId="0" fillId="10" borderId="26" xfId="0" applyFill="1" applyBorder="1"/>
    <xf numFmtId="0" fontId="5" fillId="14" borderId="24" xfId="1" applyNumberFormat="1" applyFont="1" applyFill="1" applyBorder="1" applyAlignment="1">
      <alignment horizontal="center"/>
    </xf>
    <xf numFmtId="0" fontId="5" fillId="21" borderId="34" xfId="1" applyNumberFormat="1" applyFont="1" applyFill="1" applyBorder="1" applyAlignment="1">
      <alignment horizontal="center"/>
    </xf>
    <xf numFmtId="0" fontId="5" fillId="22" borderId="28" xfId="1" applyNumberFormat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3" xfId="1" applyFont="1" applyFill="1" applyBorder="1" applyAlignment="1">
      <alignment horizontal="center"/>
    </xf>
    <xf numFmtId="44" fontId="2" fillId="11" borderId="27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3B3B"/>
      <color rgb="FFDA2424"/>
      <color rgb="FFFF9966"/>
      <color rgb="FF00FFFF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Saidas variadas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566.5</c:v>
                </c:pt>
                <c:pt idx="7">
                  <c:v>798.02</c:v>
                </c:pt>
                <c:pt idx="8">
                  <c:v>810.39</c:v>
                </c:pt>
                <c:pt idx="9">
                  <c:v>1386.2</c:v>
                </c:pt>
                <c:pt idx="10">
                  <c:v>847.02</c:v>
                </c:pt>
                <c:pt idx="11">
                  <c:v>206.52999999999997</c:v>
                </c:pt>
              </c:numCache>
            </c:numRef>
          </c:val>
        </c:ser>
        <c:ser>
          <c:idx val="1"/>
          <c:order val="1"/>
          <c:tx>
            <c:strRef>
              <c:f>Anual!$B$4</c:f>
              <c:strCache>
                <c:ptCount val="1"/>
                <c:pt idx="0">
                  <c:v>Saidas Variáveis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Anual!$C$4:$N$4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427.15</c:v>
                </c:pt>
                <c:pt idx="8">
                  <c:v>177.39</c:v>
                </c:pt>
                <c:pt idx="9">
                  <c:v>1018</c:v>
                </c:pt>
                <c:pt idx="10">
                  <c:v>254.83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Anual!$B$5</c:f>
              <c:strCache>
                <c:ptCount val="1"/>
                <c:pt idx="0">
                  <c:v>Saidas Fixas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Anual!$C$5:$N$5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220</c:v>
                </c:pt>
                <c:pt idx="8">
                  <c:v>283.8</c:v>
                </c:pt>
                <c:pt idx="9">
                  <c:v>0</c:v>
                </c:pt>
                <c:pt idx="10">
                  <c:v>385.66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38.5</c:v>
                </c:pt>
                <c:pt idx="7">
                  <c:v>150.87</c:v>
                </c:pt>
                <c:pt idx="8">
                  <c:v>349.2</c:v>
                </c:pt>
                <c:pt idx="9">
                  <c:v>368.20000000000005</c:v>
                </c:pt>
                <c:pt idx="10">
                  <c:v>206.52999999999997</c:v>
                </c:pt>
                <c:pt idx="11">
                  <c:v>206.52999999999997</c:v>
                </c:pt>
              </c:numCache>
            </c:numRef>
          </c:val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1494387888"/>
        <c:axId val="-1494393328"/>
      </c:barChart>
      <c:catAx>
        <c:axId val="-149438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94393328"/>
        <c:crosses val="autoZero"/>
        <c:auto val="1"/>
        <c:lblAlgn val="ctr"/>
        <c:lblOffset val="100"/>
        <c:noMultiLvlLbl val="0"/>
      </c:catAx>
      <c:valAx>
        <c:axId val="-149439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9438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4968989987362696E-2"/>
          <c:y val="0.10120758500693032"/>
          <c:w val="0.93503101001263733"/>
          <c:h val="0.42089215252587808"/>
        </c:manualLayout>
      </c:layout>
      <c:pie3DChart>
        <c:varyColors val="1"/>
        <c:ser>
          <c:idx val="0"/>
          <c:order val="0"/>
          <c:tx>
            <c:strRef>
              <c:f>Anual!$Q$9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3"/>
            <c:bubble3D val="0"/>
            <c:spPr>
              <a:solidFill>
                <a:srgbClr val="FF3B3B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Anual!$P$10:$P$23</c:f>
              <c:strCache>
                <c:ptCount val="14"/>
                <c:pt idx="0">
                  <c:v>Aluguel/Habitação</c:v>
                </c:pt>
                <c:pt idx="1">
                  <c:v>Energia</c:v>
                </c:pt>
                <c:pt idx="2">
                  <c:v>Água e esgoto</c:v>
                </c:pt>
                <c:pt idx="3">
                  <c:v>Gás</c:v>
                </c:pt>
                <c:pt idx="4">
                  <c:v>Internet</c:v>
                </c:pt>
                <c:pt idx="5">
                  <c:v>Telefone celular</c:v>
                </c:pt>
                <c:pt idx="6">
                  <c:v>Serviço de assinatura</c:v>
                </c:pt>
                <c:pt idx="7">
                  <c:v>Plano de saúde ou odontológico</c:v>
                </c:pt>
                <c:pt idx="8">
                  <c:v>Seguro de vida, carro ou residencial</c:v>
                </c:pt>
                <c:pt idx="9">
                  <c:v>Mensalidade escolar, faculdade ou curso fixo</c:v>
                </c:pt>
                <c:pt idx="10">
                  <c:v>Mensalidade de academia, clube ou associação</c:v>
                </c:pt>
                <c:pt idx="11">
                  <c:v>Transporte fixo </c:v>
                </c:pt>
                <c:pt idx="12">
                  <c:v>Contribuições ou dízimos</c:v>
                </c:pt>
                <c:pt idx="13">
                  <c:v>Parcelas</c:v>
                </c:pt>
              </c:strCache>
            </c:strRef>
          </c:cat>
          <c:val>
            <c:numRef>
              <c:f>Anual!$Q$10:$Q$23</c:f>
              <c:numCache>
                <c:formatCode>_("R$"* #,##0.00_);_("R$"* \(#,##0.00\);_("R$"* "-"??_);_(@_)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347.5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8083600661028482E-2"/>
          <c:y val="0.50486537497419548"/>
          <c:w val="0.95617847769028874"/>
          <c:h val="0.477157096935916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Anual!$Q$3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rgbClr val="00B0F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Anual!$P$4:$P$6</c:f>
              <c:strCache>
                <c:ptCount val="3"/>
                <c:pt idx="0">
                  <c:v>Entrada</c:v>
                </c:pt>
                <c:pt idx="1">
                  <c:v>Saidas</c:v>
                </c:pt>
                <c:pt idx="2">
                  <c:v>Saldo</c:v>
                </c:pt>
              </c:strCache>
            </c:strRef>
          </c:cat>
          <c:val>
            <c:numRef>
              <c:f>Anual!$Q$4:$Q$6</c:f>
              <c:numCache>
                <c:formatCode>_("R$"* #,##0.00_);_("R$"* \(#,##0.00\);_("R$"* "-"??_);_(@_)</c:formatCode>
                <c:ptCount val="3"/>
                <c:pt idx="0">
                  <c:v>4614.6599999999989</c:v>
                </c:pt>
                <c:pt idx="1">
                  <c:v>3294.83</c:v>
                </c:pt>
                <c:pt idx="2">
                  <c:v>1319.83</c:v>
                </c:pt>
              </c:numCache>
            </c:numRef>
          </c:val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914765595012085"/>
          <c:y val="0.8622608957319825"/>
          <c:w val="0.47248202670318384"/>
          <c:h val="0.12500025076483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00B0F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0</xdr:rowOff>
    </xdr:from>
    <xdr:to>
      <xdr:col>19</xdr:col>
      <xdr:colOff>600074</xdr:colOff>
      <xdr:row>22</xdr:row>
      <xdr:rowOff>95250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9524</xdr:rowOff>
    </xdr:from>
    <xdr:to>
      <xdr:col>8</xdr:col>
      <xdr:colOff>266700</xdr:colOff>
      <xdr:row>22</xdr:row>
      <xdr:rowOff>57149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0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/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B9:F9"/>
    <mergeCell ref="H9:K9"/>
    <mergeCell ref="H2:K2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15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17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18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19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20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0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7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21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 x14ac:dyDescent="0.3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38.5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25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3"/>
      <c r="J12" s="1"/>
      <c r="K12" s="2"/>
    </row>
    <row r="13" spans="2:11" x14ac:dyDescent="0.25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57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57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11</v>
      </c>
      <c r="E50" s="109">
        <f>SUBTOTAL(9,D50:D56)</f>
        <v>11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460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460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3.71093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2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31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 x14ac:dyDescent="0.3">
      <c r="B4" s="6" t="s">
        <v>6</v>
      </c>
      <c r="C4" s="7" t="s">
        <v>111</v>
      </c>
      <c r="D4" s="26">
        <v>100</v>
      </c>
      <c r="F4" s="38">
        <f>SUM(F11:F32)</f>
        <v>427.15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 x14ac:dyDescent="0.3">
      <c r="B7" s="8"/>
      <c r="C7" s="9"/>
      <c r="D7" s="28"/>
      <c r="F7" s="40">
        <f>F3-(F4+F5)</f>
        <v>150.87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x14ac:dyDescent="0.2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>
        <v>45880</v>
      </c>
      <c r="C11" s="7" t="s">
        <v>25</v>
      </c>
      <c r="D11" s="7" t="s">
        <v>32</v>
      </c>
      <c r="E11" s="16" t="s">
        <v>33</v>
      </c>
      <c r="F11" s="34">
        <v>5</v>
      </c>
      <c r="H11" s="18">
        <v>45876</v>
      </c>
      <c r="I11" s="13"/>
      <c r="J11" s="13" t="s">
        <v>34</v>
      </c>
      <c r="K11" s="63">
        <v>60</v>
      </c>
    </row>
    <row r="12" spans="2:11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5">
        <v>27</v>
      </c>
      <c r="H12" s="19">
        <v>45876</v>
      </c>
      <c r="I12" s="13"/>
      <c r="J12" s="1" t="s">
        <v>38</v>
      </c>
      <c r="K12" s="64">
        <v>130</v>
      </c>
    </row>
    <row r="13" spans="2:11" x14ac:dyDescent="0.25">
      <c r="B13" s="22">
        <v>45873</v>
      </c>
      <c r="C13" s="7" t="s">
        <v>25</v>
      </c>
      <c r="D13" s="7" t="s">
        <v>32</v>
      </c>
      <c r="E13" s="7" t="s">
        <v>33</v>
      </c>
      <c r="F13" s="35">
        <v>5</v>
      </c>
      <c r="H13" s="19">
        <v>45899</v>
      </c>
      <c r="I13" s="13"/>
      <c r="J13" s="1" t="s">
        <v>112</v>
      </c>
      <c r="K13" s="64">
        <v>30</v>
      </c>
    </row>
    <row r="14" spans="2:11" x14ac:dyDescent="0.25">
      <c r="B14" s="22">
        <v>45880</v>
      </c>
      <c r="C14" s="7" t="s">
        <v>22</v>
      </c>
      <c r="D14" s="7" t="s">
        <v>39</v>
      </c>
      <c r="E14" s="7" t="s">
        <v>40</v>
      </c>
      <c r="F14" s="35">
        <v>75</v>
      </c>
      <c r="H14" s="19"/>
      <c r="I14" s="13"/>
      <c r="J14" s="1"/>
      <c r="K14" s="64"/>
    </row>
    <row r="15" spans="2:11" x14ac:dyDescent="0.25">
      <c r="B15" s="22">
        <v>45881</v>
      </c>
      <c r="C15" s="7" t="s">
        <v>25</v>
      </c>
      <c r="D15" s="7" t="s">
        <v>32</v>
      </c>
      <c r="E15" s="7" t="s">
        <v>33</v>
      </c>
      <c r="F15" s="35">
        <v>5</v>
      </c>
      <c r="H15" s="19"/>
      <c r="I15" s="13"/>
      <c r="J15" s="1"/>
      <c r="K15" s="64"/>
    </row>
    <row r="16" spans="2:11" x14ac:dyDescent="0.25">
      <c r="B16" s="22">
        <v>45882</v>
      </c>
      <c r="C16" s="7" t="s">
        <v>25</v>
      </c>
      <c r="D16" s="7" t="s">
        <v>32</v>
      </c>
      <c r="E16" s="7" t="s">
        <v>33</v>
      </c>
      <c r="F16" s="35">
        <v>7</v>
      </c>
      <c r="H16" s="19"/>
      <c r="I16" s="13"/>
      <c r="J16" s="1"/>
      <c r="K16" s="64"/>
    </row>
    <row r="17" spans="2:11" x14ac:dyDescent="0.25">
      <c r="B17" s="22">
        <v>45882</v>
      </c>
      <c r="C17" s="7" t="s">
        <v>25</v>
      </c>
      <c r="D17" s="7" t="s">
        <v>32</v>
      </c>
      <c r="E17" s="7" t="s">
        <v>41</v>
      </c>
      <c r="F17" s="35">
        <v>5.31</v>
      </c>
      <c r="H17" s="19"/>
      <c r="I17" s="13"/>
      <c r="J17" s="1"/>
      <c r="K17" s="64"/>
    </row>
    <row r="18" spans="2:11" x14ac:dyDescent="0.25">
      <c r="B18" s="22">
        <v>45883</v>
      </c>
      <c r="C18" s="7" t="s">
        <v>25</v>
      </c>
      <c r="D18" s="7" t="s">
        <v>32</v>
      </c>
      <c r="E18" s="7" t="s">
        <v>33</v>
      </c>
      <c r="F18" s="35">
        <v>6.7</v>
      </c>
      <c r="H18" s="19"/>
      <c r="I18" s="13"/>
      <c r="J18" s="1"/>
      <c r="K18" s="64"/>
    </row>
    <row r="19" spans="2:11" x14ac:dyDescent="0.25">
      <c r="B19" s="22">
        <v>45883</v>
      </c>
      <c r="C19" s="7" t="s">
        <v>22</v>
      </c>
      <c r="D19" s="7" t="s">
        <v>42</v>
      </c>
      <c r="E19" s="7" t="s">
        <v>43</v>
      </c>
      <c r="F19" s="35">
        <v>6.14</v>
      </c>
      <c r="H19" s="19"/>
      <c r="I19" s="13"/>
      <c r="J19" s="1"/>
      <c r="K19" s="64"/>
    </row>
    <row r="20" spans="2:11" x14ac:dyDescent="0.25">
      <c r="B20" s="22">
        <v>45884</v>
      </c>
      <c r="C20" s="7" t="s">
        <v>44</v>
      </c>
      <c r="D20" s="7" t="s">
        <v>45</v>
      </c>
      <c r="E20" s="7" t="s">
        <v>46</v>
      </c>
      <c r="F20" s="35">
        <v>270</v>
      </c>
      <c r="H20" s="19"/>
      <c r="I20" s="13"/>
      <c r="J20" s="1"/>
      <c r="K20" s="64"/>
    </row>
    <row r="21" spans="2:11" x14ac:dyDescent="0.25">
      <c r="B21" s="22">
        <v>45885</v>
      </c>
      <c r="C21" s="7" t="s">
        <v>25</v>
      </c>
      <c r="D21" s="7" t="s">
        <v>32</v>
      </c>
      <c r="E21" s="7" t="s">
        <v>33</v>
      </c>
      <c r="F21" s="35">
        <v>7.5</v>
      </c>
      <c r="H21" s="19"/>
      <c r="I21" s="13"/>
      <c r="J21" s="1"/>
      <c r="K21" s="64"/>
    </row>
    <row r="22" spans="2:11" ht="15.75" thickBot="1" x14ac:dyDescent="0.3">
      <c r="B22" s="22">
        <v>45886</v>
      </c>
      <c r="C22" s="7" t="s">
        <v>25</v>
      </c>
      <c r="D22" s="7" t="s">
        <v>32</v>
      </c>
      <c r="E22" s="7" t="s">
        <v>33</v>
      </c>
      <c r="F22" s="35">
        <v>7.5</v>
      </c>
      <c r="H22" s="20"/>
      <c r="I22" s="3"/>
      <c r="J22" s="3"/>
      <c r="K22" s="65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27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27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81.14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75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6.14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49.01</v>
      </c>
    </row>
    <row r="67" spans="2:5" x14ac:dyDescent="0.25">
      <c r="B67" s="90"/>
      <c r="C67" s="71" t="s">
        <v>32</v>
      </c>
      <c r="D67" s="106">
        <f t="shared" si="4"/>
        <v>49.01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270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270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opLeftCell="A35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31.57031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13.14062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47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177.39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349.2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>
        <v>45901</v>
      </c>
      <c r="C11" s="16" t="s">
        <v>25</v>
      </c>
      <c r="D11" s="16" t="s">
        <v>32</v>
      </c>
      <c r="E11" s="16" t="s">
        <v>114</v>
      </c>
      <c r="F11" s="34">
        <v>5.5</v>
      </c>
      <c r="H11" s="18">
        <v>45901</v>
      </c>
      <c r="I11" s="13"/>
      <c r="J11" s="13" t="s">
        <v>113</v>
      </c>
      <c r="K11" s="66">
        <v>277</v>
      </c>
    </row>
    <row r="12" spans="2:11" x14ac:dyDescent="0.25">
      <c r="B12" s="22">
        <v>45903</v>
      </c>
      <c r="C12" s="7" t="s">
        <v>28</v>
      </c>
      <c r="D12" s="7" t="s">
        <v>81</v>
      </c>
      <c r="E12" s="7" t="s">
        <v>115</v>
      </c>
      <c r="F12" s="35">
        <v>85.29</v>
      </c>
      <c r="H12" s="19">
        <v>45906</v>
      </c>
      <c r="I12" s="13"/>
      <c r="J12" s="1" t="s">
        <v>117</v>
      </c>
      <c r="K12" s="67">
        <v>6.8</v>
      </c>
    </row>
    <row r="13" spans="2:11" x14ac:dyDescent="0.25">
      <c r="B13" s="22">
        <v>45903</v>
      </c>
      <c r="C13" s="7" t="s">
        <v>35</v>
      </c>
      <c r="D13" s="7" t="s">
        <v>36</v>
      </c>
      <c r="E13" s="7" t="s">
        <v>116</v>
      </c>
      <c r="F13" s="35">
        <v>1.6</v>
      </c>
      <c r="H13" s="19"/>
      <c r="I13" s="13"/>
      <c r="J13" s="1"/>
      <c r="K13" s="67"/>
    </row>
    <row r="14" spans="2:11" x14ac:dyDescent="0.25">
      <c r="B14" s="22">
        <v>1209</v>
      </c>
      <c r="C14" s="7" t="s">
        <v>28</v>
      </c>
      <c r="D14" s="7" t="s">
        <v>29</v>
      </c>
      <c r="E14" s="7" t="s">
        <v>118</v>
      </c>
      <c r="F14" s="35">
        <v>75</v>
      </c>
      <c r="H14" s="19"/>
      <c r="I14" s="13"/>
      <c r="J14" s="1"/>
      <c r="K14" s="67"/>
    </row>
    <row r="15" spans="2:11" x14ac:dyDescent="0.25">
      <c r="B15" s="22">
        <v>45918</v>
      </c>
      <c r="C15" s="7" t="s">
        <v>22</v>
      </c>
      <c r="D15" s="7" t="s">
        <v>42</v>
      </c>
      <c r="E15" s="7" t="s">
        <v>119</v>
      </c>
      <c r="F15" s="35">
        <v>10</v>
      </c>
      <c r="H15" s="19"/>
      <c r="I15" s="13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1.6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1.6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10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10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75</v>
      </c>
      <c r="E50" s="109">
        <f>SUBTOTAL(9,D50:D56)</f>
        <v>160.29000000000002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85.29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5.5</v>
      </c>
    </row>
    <row r="67" spans="2:5" x14ac:dyDescent="0.25">
      <c r="B67" s="90"/>
      <c r="C67" s="71" t="s">
        <v>32</v>
      </c>
      <c r="D67" s="106">
        <f t="shared" si="4"/>
        <v>5.5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48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>
        <v>1037</v>
      </c>
      <c r="F3" s="39">
        <f>SUM(D3:D7)</f>
        <v>1386.2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1018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368.20000000000005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 t="s">
        <v>120</v>
      </c>
      <c r="C11" s="16"/>
      <c r="D11" s="16"/>
      <c r="E11" s="16"/>
      <c r="F11" s="34">
        <v>1018</v>
      </c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tabSelected="1" zoomScale="85" zoomScaleNormal="85" workbookViewId="0">
      <selection activeCell="F6" sqref="F6"/>
    </sheetView>
  </sheetViews>
  <sheetFormatPr defaultRowHeight="15" x14ac:dyDescent="0.25"/>
  <cols>
    <col min="1" max="1" width="3" customWidth="1"/>
    <col min="2" max="2" width="12.42578125" customWidth="1"/>
    <col min="3" max="3" width="41.5703125" bestFit="1" customWidth="1"/>
    <col min="4" max="4" width="24.42578125" bestFit="1" customWidth="1"/>
    <col min="5" max="5" width="19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4.85546875" customWidth="1"/>
    <col min="11" max="11" width="12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49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>
        <v>478.82</v>
      </c>
      <c r="F3" s="39">
        <f>SUM(D3:D7)</f>
        <v>847.02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254.83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385.66</v>
      </c>
      <c r="I5" s="17" t="s">
        <v>8</v>
      </c>
    </row>
    <row r="6" spans="2:11" ht="15.75" thickBot="1" x14ac:dyDescent="0.3">
      <c r="B6" s="24" t="s">
        <v>16</v>
      </c>
      <c r="C6" s="25"/>
      <c r="D6" s="27">
        <f>Out!F7</f>
        <v>368.20000000000005</v>
      </c>
      <c r="F6" s="131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206.52999999999997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>
        <v>45966</v>
      </c>
      <c r="C11" s="16" t="s">
        <v>28</v>
      </c>
      <c r="D11" s="16" t="s">
        <v>81</v>
      </c>
      <c r="E11" s="16" t="s">
        <v>123</v>
      </c>
      <c r="F11" s="34">
        <v>158.21</v>
      </c>
      <c r="H11" s="18">
        <v>45966</v>
      </c>
      <c r="I11" s="13" t="s">
        <v>136</v>
      </c>
      <c r="J11" s="13" t="s">
        <v>125</v>
      </c>
      <c r="K11" s="66">
        <v>30</v>
      </c>
    </row>
    <row r="12" spans="2:11" x14ac:dyDescent="0.25">
      <c r="B12" s="22">
        <v>45966</v>
      </c>
      <c r="C12" s="7" t="s">
        <v>28</v>
      </c>
      <c r="D12" s="7" t="s">
        <v>81</v>
      </c>
      <c r="E12" s="7" t="s">
        <v>124</v>
      </c>
      <c r="F12" s="35">
        <v>56.62</v>
      </c>
      <c r="H12" s="19">
        <v>45966</v>
      </c>
      <c r="I12" s="13" t="s">
        <v>148</v>
      </c>
      <c r="J12" s="1" t="s">
        <v>122</v>
      </c>
      <c r="K12" s="67">
        <v>147.5</v>
      </c>
    </row>
    <row r="13" spans="2:11" x14ac:dyDescent="0.25">
      <c r="B13" s="22">
        <v>45969</v>
      </c>
      <c r="C13" s="7" t="s">
        <v>22</v>
      </c>
      <c r="D13" s="7" t="s">
        <v>39</v>
      </c>
      <c r="E13" s="7" t="s">
        <v>127</v>
      </c>
      <c r="F13" s="35">
        <v>30</v>
      </c>
      <c r="H13" s="19">
        <v>45966</v>
      </c>
      <c r="I13" s="13" t="s">
        <v>148</v>
      </c>
      <c r="J13" s="1" t="s">
        <v>121</v>
      </c>
      <c r="K13" s="67">
        <v>130</v>
      </c>
    </row>
    <row r="14" spans="2:11" x14ac:dyDescent="0.25">
      <c r="B14" s="22">
        <v>45970</v>
      </c>
      <c r="C14" s="7" t="s">
        <v>73</v>
      </c>
      <c r="D14" s="7" t="s">
        <v>96</v>
      </c>
      <c r="E14" s="7" t="s">
        <v>128</v>
      </c>
      <c r="F14" s="35">
        <v>10</v>
      </c>
      <c r="H14" s="19">
        <v>45966</v>
      </c>
      <c r="I14" s="13" t="s">
        <v>151</v>
      </c>
      <c r="J14" s="1" t="s">
        <v>117</v>
      </c>
      <c r="K14" s="67">
        <v>8.16</v>
      </c>
    </row>
    <row r="15" spans="2:11" x14ac:dyDescent="0.25">
      <c r="B15" s="22"/>
      <c r="C15" s="7"/>
      <c r="D15" s="7"/>
      <c r="E15" s="7"/>
      <c r="F15" s="35"/>
      <c r="H15" s="19">
        <v>45966</v>
      </c>
      <c r="I15" s="13" t="s">
        <v>148</v>
      </c>
      <c r="J15" s="1" t="s">
        <v>152</v>
      </c>
      <c r="K15" s="67">
        <v>70</v>
      </c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30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30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30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347.5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214.83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214.83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10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10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96"/>
  <sheetViews>
    <sheetView showGridLines="0" zoomScale="85" zoomScaleNormal="85" workbookViewId="0">
      <selection activeCell="I7" sqref="I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15.140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1.85546875" customWidth="1"/>
    <col min="11" max="11" width="5.85546875" bestFit="1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2" t="s">
        <v>50</v>
      </c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1" ht="15.75" thickBot="1" x14ac:dyDescent="0.3">
      <c r="B3" s="10" t="s">
        <v>4</v>
      </c>
      <c r="C3" s="29"/>
      <c r="D3" s="30"/>
      <c r="F3" s="39">
        <f>SUM(D3:D7)</f>
        <v>206.52999999999997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Nov!F7</f>
        <v>206.52999999999997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F3-(F4+F5)</f>
        <v>206.52999999999997</v>
      </c>
    </row>
    <row r="8" spans="2:11" ht="15.75" thickBot="1" x14ac:dyDescent="0.3"/>
    <row r="9" spans="2:11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13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3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3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3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3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3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3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3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3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3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3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  <row r="33" spans="2:9" ht="15.75" thickBot="1" x14ac:dyDescent="0.3"/>
    <row r="34" spans="2:9" ht="17.25" thickTop="1" thickBot="1" x14ac:dyDescent="0.3">
      <c r="B34" s="86" t="s">
        <v>126</v>
      </c>
      <c r="C34" s="87"/>
      <c r="D34" s="87"/>
      <c r="E34" s="88"/>
      <c r="H34" s="103" t="s">
        <v>150</v>
      </c>
      <c r="I34" s="104"/>
    </row>
    <row r="35" spans="2:9" x14ac:dyDescent="0.25">
      <c r="B35" s="89" t="str">
        <f>Modelo!M4</f>
        <v>Alimentação</v>
      </c>
      <c r="C35" s="73" t="s">
        <v>69</v>
      </c>
      <c r="D35" s="105">
        <f>SUMIFS($F$11:$F$32,$D$11:$D$32,C35)</f>
        <v>0</v>
      </c>
      <c r="E35" s="109">
        <f>SUBTOTAL(9,D35:D39)</f>
        <v>0</v>
      </c>
      <c r="H35" s="99" t="s">
        <v>141</v>
      </c>
      <c r="I35" s="101">
        <f>SUMIF($I$11:$I$22,H35,$K$11:$K$22)</f>
        <v>0</v>
      </c>
    </row>
    <row r="36" spans="2:9" x14ac:dyDescent="0.25">
      <c r="B36" s="90"/>
      <c r="C36" s="71" t="s">
        <v>70</v>
      </c>
      <c r="D36" s="106">
        <f t="shared" ref="D36:D39" si="0">SUMIFS($F$11:$F$32,$D$11:$D$32,C36)</f>
        <v>0</v>
      </c>
      <c r="E36" s="110"/>
      <c r="H36" s="99" t="s">
        <v>142</v>
      </c>
      <c r="I36" s="101">
        <f t="shared" ref="I36:I48" si="1">SUMIF($I$11:$I$22,H36,$K$11:$K$22)</f>
        <v>0</v>
      </c>
    </row>
    <row r="37" spans="2:9" x14ac:dyDescent="0.25">
      <c r="B37" s="90"/>
      <c r="C37" s="71" t="s">
        <v>71</v>
      </c>
      <c r="D37" s="106">
        <f t="shared" si="0"/>
        <v>0</v>
      </c>
      <c r="E37" s="110"/>
      <c r="H37" s="99" t="s">
        <v>143</v>
      </c>
      <c r="I37" s="101">
        <f t="shared" si="1"/>
        <v>0</v>
      </c>
    </row>
    <row r="38" spans="2:9" x14ac:dyDescent="0.25">
      <c r="B38" s="90"/>
      <c r="C38" s="71" t="s">
        <v>36</v>
      </c>
      <c r="D38" s="106">
        <f t="shared" si="0"/>
        <v>0</v>
      </c>
      <c r="E38" s="110"/>
      <c r="H38" s="99" t="s">
        <v>144</v>
      </c>
      <c r="I38" s="101">
        <f t="shared" si="1"/>
        <v>0</v>
      </c>
    </row>
    <row r="39" spans="2:9" ht="15.75" thickBot="1" x14ac:dyDescent="0.3">
      <c r="B39" s="90"/>
      <c r="C39" s="71"/>
      <c r="D39" s="106">
        <f t="shared" si="0"/>
        <v>0</v>
      </c>
      <c r="E39" s="111"/>
      <c r="H39" s="99" t="s">
        <v>135</v>
      </c>
      <c r="I39" s="101">
        <f>SUMIF($I$11:$I$22,H39,$K$11:$K$22)</f>
        <v>0</v>
      </c>
    </row>
    <row r="40" spans="2:9" ht="15.75" thickBot="1" x14ac:dyDescent="0.3">
      <c r="C40" s="57"/>
      <c r="H40" s="99" t="s">
        <v>136</v>
      </c>
      <c r="I40" s="101">
        <f t="shared" si="1"/>
        <v>0</v>
      </c>
    </row>
    <row r="41" spans="2:9" x14ac:dyDescent="0.25">
      <c r="B41" s="93" t="str">
        <f>Modelo!M10</f>
        <v>Lazer</v>
      </c>
      <c r="C41" s="73" t="s">
        <v>75</v>
      </c>
      <c r="D41" s="105">
        <f>SUMIFS($F$11:$F$32,$D$11:$D$32,C41)</f>
        <v>0</v>
      </c>
      <c r="E41" s="109">
        <f>SUBTOTAL(9,D41:D48)</f>
        <v>0</v>
      </c>
      <c r="H41" s="99" t="s">
        <v>145</v>
      </c>
      <c r="I41" s="101">
        <f t="shared" si="1"/>
        <v>0</v>
      </c>
    </row>
    <row r="42" spans="2:9" x14ac:dyDescent="0.25">
      <c r="B42" s="94"/>
      <c r="C42" s="71" t="s">
        <v>23</v>
      </c>
      <c r="D42" s="106">
        <f t="shared" ref="D42:D56" si="2">SUMIFS($F$11:$F$32,$D$11:$D$32,C42)</f>
        <v>0</v>
      </c>
      <c r="E42" s="110"/>
      <c r="H42" s="99" t="s">
        <v>137</v>
      </c>
      <c r="I42" s="101">
        <f t="shared" si="1"/>
        <v>0</v>
      </c>
    </row>
    <row r="43" spans="2:9" x14ac:dyDescent="0.25">
      <c r="B43" s="94"/>
      <c r="C43" s="71" t="s">
        <v>39</v>
      </c>
      <c r="D43" s="106">
        <f t="shared" si="2"/>
        <v>0</v>
      </c>
      <c r="E43" s="110"/>
      <c r="H43" s="99" t="s">
        <v>138</v>
      </c>
      <c r="I43" s="101">
        <f t="shared" si="1"/>
        <v>0</v>
      </c>
    </row>
    <row r="44" spans="2:9" x14ac:dyDescent="0.25">
      <c r="B44" s="94"/>
      <c r="C44" s="71" t="s">
        <v>76</v>
      </c>
      <c r="D44" s="106">
        <f t="shared" si="2"/>
        <v>0</v>
      </c>
      <c r="E44" s="110"/>
      <c r="H44" s="99" t="s">
        <v>139</v>
      </c>
      <c r="I44" s="101">
        <f t="shared" si="1"/>
        <v>0</v>
      </c>
    </row>
    <row r="45" spans="2:9" x14ac:dyDescent="0.25">
      <c r="B45" s="94"/>
      <c r="C45" s="71" t="s">
        <v>77</v>
      </c>
      <c r="D45" s="106">
        <f t="shared" si="2"/>
        <v>0</v>
      </c>
      <c r="E45" s="110"/>
      <c r="H45" s="99" t="s">
        <v>140</v>
      </c>
      <c r="I45" s="101">
        <f t="shared" si="1"/>
        <v>0</v>
      </c>
    </row>
    <row r="46" spans="2:9" x14ac:dyDescent="0.25">
      <c r="B46" s="94"/>
      <c r="C46" s="71" t="s">
        <v>42</v>
      </c>
      <c r="D46" s="106">
        <f t="shared" si="2"/>
        <v>0</v>
      </c>
      <c r="E46" s="110"/>
      <c r="H46" s="99" t="s">
        <v>146</v>
      </c>
      <c r="I46" s="101">
        <f t="shared" si="1"/>
        <v>0</v>
      </c>
    </row>
    <row r="47" spans="2:9" x14ac:dyDescent="0.25">
      <c r="B47" s="94"/>
      <c r="C47" s="71" t="s">
        <v>78</v>
      </c>
      <c r="D47" s="106">
        <f t="shared" si="2"/>
        <v>0</v>
      </c>
      <c r="E47" s="110"/>
      <c r="H47" s="99" t="s">
        <v>147</v>
      </c>
      <c r="I47" s="101">
        <f t="shared" si="1"/>
        <v>0</v>
      </c>
    </row>
    <row r="48" spans="2:9" ht="15.75" thickBot="1" x14ac:dyDescent="0.3">
      <c r="B48" s="95"/>
      <c r="C48" s="77"/>
      <c r="D48" s="107">
        <f t="shared" si="2"/>
        <v>0</v>
      </c>
      <c r="E48" s="111"/>
      <c r="H48" s="100" t="s">
        <v>148</v>
      </c>
      <c r="I48" s="102">
        <f t="shared" si="1"/>
        <v>0</v>
      </c>
    </row>
    <row r="49" spans="2:5" ht="15.75" thickBot="1" x14ac:dyDescent="0.3">
      <c r="D49" s="69"/>
    </row>
    <row r="50" spans="2:5" x14ac:dyDescent="0.25">
      <c r="B50" s="89" t="str">
        <f>Modelo!M19</f>
        <v>Despesas</v>
      </c>
      <c r="C50" s="73" t="s">
        <v>29</v>
      </c>
      <c r="D50" s="105">
        <f t="shared" si="2"/>
        <v>0</v>
      </c>
      <c r="E50" s="109">
        <f>SUBTOTAL(9,D50:D56)</f>
        <v>0</v>
      </c>
    </row>
    <row r="51" spans="2:5" x14ac:dyDescent="0.25">
      <c r="B51" s="90"/>
      <c r="C51" s="71" t="s">
        <v>79</v>
      </c>
      <c r="D51" s="106">
        <f t="shared" si="2"/>
        <v>0</v>
      </c>
      <c r="E51" s="110"/>
    </row>
    <row r="52" spans="2:5" x14ac:dyDescent="0.25">
      <c r="B52" s="90"/>
      <c r="C52" s="71" t="s">
        <v>80</v>
      </c>
      <c r="D52" s="106">
        <f t="shared" si="2"/>
        <v>0</v>
      </c>
      <c r="E52" s="110"/>
    </row>
    <row r="53" spans="2:5" x14ac:dyDescent="0.25">
      <c r="B53" s="90"/>
      <c r="C53" s="71" t="s">
        <v>81</v>
      </c>
      <c r="D53" s="106">
        <f t="shared" si="2"/>
        <v>0</v>
      </c>
      <c r="E53" s="110"/>
    </row>
    <row r="54" spans="2:5" x14ac:dyDescent="0.25">
      <c r="B54" s="90"/>
      <c r="C54" s="71" t="s">
        <v>82</v>
      </c>
      <c r="D54" s="106">
        <f t="shared" si="2"/>
        <v>0</v>
      </c>
      <c r="E54" s="110"/>
    </row>
    <row r="55" spans="2:5" x14ac:dyDescent="0.25">
      <c r="B55" s="90"/>
      <c r="C55" s="71" t="s">
        <v>83</v>
      </c>
      <c r="D55" s="106">
        <f t="shared" si="2"/>
        <v>0</v>
      </c>
      <c r="E55" s="110"/>
    </row>
    <row r="56" spans="2:5" ht="15.75" thickBot="1" x14ac:dyDescent="0.3">
      <c r="B56" s="91"/>
      <c r="C56" s="75"/>
      <c r="D56" s="108">
        <f t="shared" si="2"/>
        <v>0</v>
      </c>
      <c r="E56" s="111"/>
    </row>
    <row r="57" spans="2:5" ht="15.75" thickBot="1" x14ac:dyDescent="0.3">
      <c r="D57" s="69"/>
    </row>
    <row r="58" spans="2:5" x14ac:dyDescent="0.25">
      <c r="B58" s="89" t="str">
        <f>Modelo!M28</f>
        <v>Moradia</v>
      </c>
      <c r="C58" s="73" t="s">
        <v>84</v>
      </c>
      <c r="D58" s="105">
        <f t="shared" ref="D58:D64" si="3">SUMIFS($F$11:$F$32,$D$11:$D$32,C58)</f>
        <v>0</v>
      </c>
      <c r="E58" s="109">
        <f>SUBTOTAL(9,D58:D64)</f>
        <v>0</v>
      </c>
    </row>
    <row r="59" spans="2:5" x14ac:dyDescent="0.25">
      <c r="B59" s="90"/>
      <c r="C59" s="71" t="s">
        <v>85</v>
      </c>
      <c r="D59" s="106">
        <f t="shared" si="3"/>
        <v>0</v>
      </c>
      <c r="E59" s="110"/>
    </row>
    <row r="60" spans="2:5" x14ac:dyDescent="0.25">
      <c r="B60" s="90"/>
      <c r="C60" s="71" t="s">
        <v>86</v>
      </c>
      <c r="D60" s="106">
        <f t="shared" si="3"/>
        <v>0</v>
      </c>
      <c r="E60" s="110"/>
    </row>
    <row r="61" spans="2:5" x14ac:dyDescent="0.25">
      <c r="B61" s="90"/>
      <c r="C61" s="71" t="s">
        <v>87</v>
      </c>
      <c r="D61" s="106">
        <f t="shared" si="3"/>
        <v>0</v>
      </c>
      <c r="E61" s="110"/>
    </row>
    <row r="62" spans="2:5" x14ac:dyDescent="0.25">
      <c r="B62" s="90"/>
      <c r="C62" s="71" t="s">
        <v>88</v>
      </c>
      <c r="D62" s="106">
        <f t="shared" si="3"/>
        <v>0</v>
      </c>
      <c r="E62" s="110"/>
    </row>
    <row r="63" spans="2:5" x14ac:dyDescent="0.25">
      <c r="B63" s="90"/>
      <c r="C63" s="71" t="s">
        <v>89</v>
      </c>
      <c r="D63" s="106">
        <f t="shared" si="3"/>
        <v>0</v>
      </c>
      <c r="E63" s="110"/>
    </row>
    <row r="64" spans="2:5" ht="15.75" thickBot="1" x14ac:dyDescent="0.3">
      <c r="B64" s="91"/>
      <c r="C64" s="75"/>
      <c r="D64" s="108">
        <f t="shared" si="3"/>
        <v>0</v>
      </c>
      <c r="E64" s="111"/>
    </row>
    <row r="65" spans="2:5" ht="15.75" thickBot="1" x14ac:dyDescent="0.3">
      <c r="D65" s="69"/>
    </row>
    <row r="66" spans="2:5" x14ac:dyDescent="0.25">
      <c r="B66" s="89" t="str">
        <f>Modelo!M36</f>
        <v>Transporte</v>
      </c>
      <c r="C66" s="73" t="s">
        <v>90</v>
      </c>
      <c r="D66" s="105">
        <f t="shared" ref="D66:D72" si="4">SUMIFS($F$11:$F$32,$D$11:$D$32,C66)</f>
        <v>0</v>
      </c>
      <c r="E66" s="109">
        <f>SUBTOTAL(9,D66:D72)</f>
        <v>0</v>
      </c>
    </row>
    <row r="67" spans="2:5" x14ac:dyDescent="0.25">
      <c r="B67" s="90"/>
      <c r="C67" s="71" t="s">
        <v>32</v>
      </c>
      <c r="D67" s="106">
        <f t="shared" si="4"/>
        <v>0</v>
      </c>
      <c r="E67" s="110"/>
    </row>
    <row r="68" spans="2:5" x14ac:dyDescent="0.25">
      <c r="B68" s="90"/>
      <c r="C68" s="71" t="s">
        <v>91</v>
      </c>
      <c r="D68" s="106">
        <f t="shared" si="4"/>
        <v>0</v>
      </c>
      <c r="E68" s="110"/>
    </row>
    <row r="69" spans="2:5" x14ac:dyDescent="0.25">
      <c r="B69" s="90"/>
      <c r="C69" s="71" t="s">
        <v>92</v>
      </c>
      <c r="D69" s="106">
        <f t="shared" si="4"/>
        <v>0</v>
      </c>
      <c r="E69" s="110"/>
    </row>
    <row r="70" spans="2:5" x14ac:dyDescent="0.25">
      <c r="B70" s="90"/>
      <c r="C70" s="71" t="s">
        <v>93</v>
      </c>
      <c r="D70" s="106">
        <f t="shared" si="4"/>
        <v>0</v>
      </c>
      <c r="E70" s="110"/>
    </row>
    <row r="71" spans="2:5" x14ac:dyDescent="0.25">
      <c r="B71" s="90"/>
      <c r="C71" s="71" t="s">
        <v>26</v>
      </c>
      <c r="D71" s="106">
        <f t="shared" si="4"/>
        <v>0</v>
      </c>
      <c r="E71" s="110"/>
    </row>
    <row r="72" spans="2:5" ht="15.75" thickBot="1" x14ac:dyDescent="0.3">
      <c r="B72" s="91"/>
      <c r="C72" s="75"/>
      <c r="D72" s="108">
        <f t="shared" si="4"/>
        <v>0</v>
      </c>
      <c r="E72" s="111"/>
    </row>
    <row r="73" spans="2:5" ht="15.75" thickBot="1" x14ac:dyDescent="0.3">
      <c r="D73" s="69"/>
    </row>
    <row r="74" spans="2:5" x14ac:dyDescent="0.25">
      <c r="B74" s="89" t="str">
        <f>Modelo!M44</f>
        <v>Educação</v>
      </c>
      <c r="C74" s="73" t="s">
        <v>94</v>
      </c>
      <c r="D74" s="105">
        <f t="shared" ref="D74:D80" si="5">SUMIFS($F$11:$F$32,$D$11:$D$32,C74)</f>
        <v>0</v>
      </c>
      <c r="E74" s="109">
        <f>SUBTOTAL(9,D74:D80)</f>
        <v>0</v>
      </c>
    </row>
    <row r="75" spans="2:5" x14ac:dyDescent="0.25">
      <c r="B75" s="90"/>
      <c r="C75" s="71" t="s">
        <v>95</v>
      </c>
      <c r="D75" s="106">
        <f t="shared" si="5"/>
        <v>0</v>
      </c>
      <c r="E75" s="110"/>
    </row>
    <row r="76" spans="2:5" x14ac:dyDescent="0.25">
      <c r="B76" s="90"/>
      <c r="C76" s="71" t="s">
        <v>96</v>
      </c>
      <c r="D76" s="106">
        <f t="shared" si="5"/>
        <v>0</v>
      </c>
      <c r="E76" s="110"/>
    </row>
    <row r="77" spans="2:5" x14ac:dyDescent="0.25">
      <c r="B77" s="90"/>
      <c r="C77" s="71" t="s">
        <v>97</v>
      </c>
      <c r="D77" s="106">
        <f t="shared" si="5"/>
        <v>0</v>
      </c>
      <c r="E77" s="110"/>
    </row>
    <row r="78" spans="2:5" x14ac:dyDescent="0.25">
      <c r="B78" s="90"/>
      <c r="C78" s="71" t="s">
        <v>98</v>
      </c>
      <c r="D78" s="106">
        <f t="shared" si="5"/>
        <v>0</v>
      </c>
      <c r="E78" s="110"/>
    </row>
    <row r="79" spans="2:5" x14ac:dyDescent="0.25">
      <c r="B79" s="90"/>
      <c r="C79" s="71" t="s">
        <v>99</v>
      </c>
      <c r="D79" s="106">
        <f t="shared" si="5"/>
        <v>0</v>
      </c>
      <c r="E79" s="110"/>
    </row>
    <row r="80" spans="2:5" ht="15.75" thickBot="1" x14ac:dyDescent="0.3">
      <c r="B80" s="91"/>
      <c r="C80" s="75"/>
      <c r="D80" s="108">
        <f t="shared" si="5"/>
        <v>0</v>
      </c>
      <c r="E80" s="111"/>
    </row>
    <row r="81" spans="2:5" ht="15.75" thickBot="1" x14ac:dyDescent="0.3">
      <c r="D81" s="69"/>
    </row>
    <row r="82" spans="2:5" x14ac:dyDescent="0.25">
      <c r="B82" s="89" t="str">
        <f>Modelo!M52</f>
        <v>Saúde</v>
      </c>
      <c r="C82" s="73" t="s">
        <v>100</v>
      </c>
      <c r="D82" s="105">
        <f t="shared" ref="D82:D88" si="6">SUMIFS($F$11:$F$32,$D$11:$D$32,C82)</f>
        <v>0</v>
      </c>
      <c r="E82" s="109">
        <f>SUBTOTAL(9,D82:D88)</f>
        <v>0</v>
      </c>
    </row>
    <row r="83" spans="2:5" x14ac:dyDescent="0.25">
      <c r="B83" s="90"/>
      <c r="C83" s="71" t="s">
        <v>101</v>
      </c>
      <c r="D83" s="106">
        <f t="shared" si="6"/>
        <v>0</v>
      </c>
      <c r="E83" s="110"/>
    </row>
    <row r="84" spans="2:5" x14ac:dyDescent="0.25">
      <c r="B84" s="90"/>
      <c r="C84" s="71" t="s">
        <v>102</v>
      </c>
      <c r="D84" s="106">
        <f t="shared" si="6"/>
        <v>0</v>
      </c>
      <c r="E84" s="110"/>
    </row>
    <row r="85" spans="2:5" x14ac:dyDescent="0.25">
      <c r="B85" s="90"/>
      <c r="C85" s="71" t="s">
        <v>103</v>
      </c>
      <c r="D85" s="106">
        <f t="shared" si="6"/>
        <v>0</v>
      </c>
      <c r="E85" s="110"/>
    </row>
    <row r="86" spans="2:5" x14ac:dyDescent="0.25">
      <c r="B86" s="90"/>
      <c r="C86" s="71" t="s">
        <v>104</v>
      </c>
      <c r="D86" s="106">
        <f t="shared" si="6"/>
        <v>0</v>
      </c>
      <c r="E86" s="110"/>
    </row>
    <row r="87" spans="2:5" x14ac:dyDescent="0.25">
      <c r="B87" s="90"/>
      <c r="C87" s="71" t="s">
        <v>105</v>
      </c>
      <c r="D87" s="106">
        <f t="shared" si="6"/>
        <v>0</v>
      </c>
      <c r="E87" s="110"/>
    </row>
    <row r="88" spans="2:5" ht="15.75" thickBot="1" x14ac:dyDescent="0.3">
      <c r="B88" s="91"/>
      <c r="C88" s="75"/>
      <c r="D88" s="108">
        <f t="shared" si="6"/>
        <v>0</v>
      </c>
      <c r="E88" s="111"/>
    </row>
    <row r="89" spans="2:5" ht="15.75" thickBot="1" x14ac:dyDescent="0.3">
      <c r="D89" s="69"/>
    </row>
    <row r="90" spans="2:5" x14ac:dyDescent="0.25">
      <c r="B90" s="89" t="str">
        <f>Modelo!M59</f>
        <v>Imprevistos</v>
      </c>
      <c r="C90" s="73" t="s">
        <v>106</v>
      </c>
      <c r="D90" s="105">
        <f t="shared" ref="D90:D96" si="7">SUMIFS($F$11:$F$32,$D$11:$D$32,C90)</f>
        <v>0</v>
      </c>
      <c r="E90" s="109">
        <f>SUBTOTAL(9,D90:D96)</f>
        <v>0</v>
      </c>
    </row>
    <row r="91" spans="2:5" x14ac:dyDescent="0.25">
      <c r="B91" s="90"/>
      <c r="C91" s="71" t="s">
        <v>107</v>
      </c>
      <c r="D91" s="106">
        <f t="shared" si="7"/>
        <v>0</v>
      </c>
      <c r="E91" s="110"/>
    </row>
    <row r="92" spans="2:5" x14ac:dyDescent="0.25">
      <c r="B92" s="90"/>
      <c r="C92" s="71" t="s">
        <v>108</v>
      </c>
      <c r="D92" s="106">
        <f t="shared" si="7"/>
        <v>0</v>
      </c>
      <c r="E92" s="110"/>
    </row>
    <row r="93" spans="2:5" x14ac:dyDescent="0.25">
      <c r="B93" s="90"/>
      <c r="C93" s="71" t="s">
        <v>109</v>
      </c>
      <c r="D93" s="106">
        <f t="shared" si="7"/>
        <v>0</v>
      </c>
      <c r="E93" s="110"/>
    </row>
    <row r="94" spans="2:5" x14ac:dyDescent="0.25">
      <c r="B94" s="90"/>
      <c r="C94" s="71" t="s">
        <v>110</v>
      </c>
      <c r="D94" s="106">
        <f t="shared" si="7"/>
        <v>0</v>
      </c>
      <c r="E94" s="110"/>
    </row>
    <row r="95" spans="2:5" x14ac:dyDescent="0.25">
      <c r="B95" s="90"/>
      <c r="C95" s="71" t="s">
        <v>45</v>
      </c>
      <c r="D95" s="106">
        <f t="shared" si="7"/>
        <v>0</v>
      </c>
      <c r="E95" s="110"/>
    </row>
    <row r="96" spans="2:5" ht="15.75" thickBot="1" x14ac:dyDescent="0.3">
      <c r="B96" s="91"/>
      <c r="C96" s="75"/>
      <c r="D96" s="108">
        <f t="shared" si="7"/>
        <v>0</v>
      </c>
      <c r="E96" s="111"/>
    </row>
  </sheetData>
  <mergeCells count="21">
    <mergeCell ref="B90:B96"/>
    <mergeCell ref="E90:E96"/>
    <mergeCell ref="H34:I34"/>
    <mergeCell ref="E41:E48"/>
    <mergeCell ref="B66:B72"/>
    <mergeCell ref="E66:E72"/>
    <mergeCell ref="B74:B80"/>
    <mergeCell ref="E74:E80"/>
    <mergeCell ref="B82:B88"/>
    <mergeCell ref="E82:E88"/>
    <mergeCell ref="B41:B48"/>
    <mergeCell ref="B50:B56"/>
    <mergeCell ref="E50:E56"/>
    <mergeCell ref="B58:B64"/>
    <mergeCell ref="E58:E64"/>
    <mergeCell ref="H2:K2"/>
    <mergeCell ref="B9:F9"/>
    <mergeCell ref="H9:K9"/>
    <mergeCell ref="B34:E34"/>
    <mergeCell ref="B35:B39"/>
    <mergeCell ref="E35:E3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Modelo!$R$3:$R$16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Q23"/>
  <sheetViews>
    <sheetView showGridLines="0" zoomScale="85" zoomScaleNormal="85" workbookViewId="0">
      <selection activeCell="N3" sqref="N3:N7"/>
    </sheetView>
  </sheetViews>
  <sheetFormatPr defaultRowHeight="15" x14ac:dyDescent="0.25"/>
  <cols>
    <col min="1" max="1" width="1" customWidth="1"/>
    <col min="2" max="2" width="22.7109375" style="41" customWidth="1"/>
    <col min="3" max="14" width="12.7109375" style="51" customWidth="1"/>
    <col min="15" max="15" width="1.7109375" customWidth="1"/>
    <col min="16" max="17" width="17.85546875" customWidth="1"/>
  </cols>
  <sheetData>
    <row r="1" spans="2:17" ht="14.25" customHeight="1" thickBot="1" x14ac:dyDescent="0.3"/>
    <row r="2" spans="2:17" ht="15.75" thickBot="1" x14ac:dyDescent="0.3">
      <c r="B2" s="55" t="s">
        <v>51</v>
      </c>
      <c r="C2" s="52" t="s">
        <v>52</v>
      </c>
      <c r="D2" s="53" t="s">
        <v>15</v>
      </c>
      <c r="E2" s="53" t="s">
        <v>53</v>
      </c>
      <c r="F2" s="53" t="s">
        <v>54</v>
      </c>
      <c r="G2" s="53" t="s">
        <v>55</v>
      </c>
      <c r="H2" s="53" t="s">
        <v>56</v>
      </c>
      <c r="I2" s="53" t="s">
        <v>57</v>
      </c>
      <c r="J2" s="53" t="s">
        <v>58</v>
      </c>
      <c r="K2" s="53" t="s">
        <v>59</v>
      </c>
      <c r="L2" s="53" t="s">
        <v>60</v>
      </c>
      <c r="M2" s="53" t="s">
        <v>61</v>
      </c>
      <c r="N2" s="54" t="s">
        <v>62</v>
      </c>
    </row>
    <row r="3" spans="2:17" ht="15.75" thickBot="1" x14ac:dyDescent="0.3">
      <c r="B3" s="48" t="s">
        <v>63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1386.2</v>
      </c>
      <c r="M3" s="42">
        <f>Nov!$F$3</f>
        <v>847.02</v>
      </c>
      <c r="N3" s="126">
        <f>Dez!$F$3</f>
        <v>206.52999999999997</v>
      </c>
      <c r="P3" s="119" t="s">
        <v>155</v>
      </c>
      <c r="Q3" s="119" t="s">
        <v>153</v>
      </c>
    </row>
    <row r="4" spans="2:17" ht="15.75" x14ac:dyDescent="0.25">
      <c r="B4" s="49" t="s">
        <v>64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1018</v>
      </c>
      <c r="M4" s="44">
        <f>Nov!$F$4</f>
        <v>254.83</v>
      </c>
      <c r="N4" s="127">
        <f>Dez!$F$4</f>
        <v>0</v>
      </c>
      <c r="P4" s="123" t="s">
        <v>156</v>
      </c>
      <c r="Q4" s="114">
        <f>SUM(C3:N3)</f>
        <v>4614.6599999999989</v>
      </c>
    </row>
    <row r="5" spans="2:17" ht="15.75" x14ac:dyDescent="0.25">
      <c r="B5" s="49" t="s">
        <v>65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385.66</v>
      </c>
      <c r="N5" s="128">
        <f>Dez!$F$5</f>
        <v>0</v>
      </c>
      <c r="P5" s="124" t="s">
        <v>157</v>
      </c>
      <c r="Q5" s="115">
        <f>SUM(C6:N6)</f>
        <v>3294.83</v>
      </c>
    </row>
    <row r="6" spans="2:17" ht="16.5" thickBot="1" x14ac:dyDescent="0.3">
      <c r="B6" s="49" t="s">
        <v>66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1018</v>
      </c>
      <c r="M6" s="46">
        <f t="shared" si="0"/>
        <v>640.49</v>
      </c>
      <c r="N6" s="129">
        <f t="shared" si="0"/>
        <v>0</v>
      </c>
      <c r="P6" s="125" t="s">
        <v>16</v>
      </c>
      <c r="Q6" s="115">
        <f>SUM(C7:N7)</f>
        <v>1319.83</v>
      </c>
    </row>
    <row r="7" spans="2:17" ht="15.75" thickBot="1" x14ac:dyDescent="0.3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368.20000000000005</v>
      </c>
      <c r="M7" s="47">
        <f t="shared" si="1"/>
        <v>206.52999999999997</v>
      </c>
      <c r="N7" s="130">
        <f t="shared" si="1"/>
        <v>206.52999999999997</v>
      </c>
    </row>
    <row r="8" spans="2:17" ht="15.75" thickBot="1" x14ac:dyDescent="0.3"/>
    <row r="9" spans="2:17" ht="15.75" thickBot="1" x14ac:dyDescent="0.3">
      <c r="B9" s="97" t="s">
        <v>149</v>
      </c>
      <c r="C9" s="98" t="s">
        <v>52</v>
      </c>
      <c r="D9" s="98" t="s">
        <v>15</v>
      </c>
      <c r="E9" s="98" t="s">
        <v>53</v>
      </c>
      <c r="F9" s="98" t="s">
        <v>54</v>
      </c>
      <c r="G9" s="98" t="s">
        <v>55</v>
      </c>
      <c r="H9" s="98" t="s">
        <v>56</v>
      </c>
      <c r="I9" s="98" t="s">
        <v>57</v>
      </c>
      <c r="J9" s="98" t="s">
        <v>58</v>
      </c>
      <c r="K9" s="98" t="s">
        <v>59</v>
      </c>
      <c r="L9" s="98" t="s">
        <v>60</v>
      </c>
      <c r="M9" s="98" t="s">
        <v>61</v>
      </c>
      <c r="N9" s="98" t="s">
        <v>62</v>
      </c>
      <c r="P9" s="119" t="s">
        <v>154</v>
      </c>
      <c r="Q9" s="119" t="s">
        <v>153</v>
      </c>
    </row>
    <row r="10" spans="2:17" x14ac:dyDescent="0.25">
      <c r="B10" s="120" t="s">
        <v>141</v>
      </c>
      <c r="C10" s="114">
        <f>SUM(Jan!I35)</f>
        <v>0</v>
      </c>
      <c r="D10" s="96">
        <f>SUM(Fev!I35)</f>
        <v>0</v>
      </c>
      <c r="E10" s="114">
        <f>SUM(Mar!I35)</f>
        <v>0</v>
      </c>
      <c r="F10" s="96">
        <f>SUM(Abr!I35)</f>
        <v>0</v>
      </c>
      <c r="G10" s="114">
        <f>SUM(Mai!I35)</f>
        <v>0</v>
      </c>
      <c r="H10" s="96">
        <f>SUM(Jun!I35)</f>
        <v>0</v>
      </c>
      <c r="I10" s="114">
        <f>SUM(Jul!I35)</f>
        <v>0</v>
      </c>
      <c r="J10" s="96">
        <f>SUM(Ago!I35)</f>
        <v>0</v>
      </c>
      <c r="K10" s="114">
        <f>SUM(Set!I35)</f>
        <v>0</v>
      </c>
      <c r="L10" s="96">
        <f>SUM(Out!I35)</f>
        <v>0</v>
      </c>
      <c r="M10" s="114">
        <f>SUM(Nov!I35)</f>
        <v>0</v>
      </c>
      <c r="N10" s="96">
        <f>SUM(Dez!I35)</f>
        <v>0</v>
      </c>
      <c r="P10" s="120" t="s">
        <v>141</v>
      </c>
      <c r="Q10" s="114">
        <f>SUM(C10:N10)</f>
        <v>0</v>
      </c>
    </row>
    <row r="11" spans="2:17" x14ac:dyDescent="0.25">
      <c r="B11" s="121" t="s">
        <v>142</v>
      </c>
      <c r="C11" s="115">
        <f>SUM(Jan!I36)</f>
        <v>0</v>
      </c>
      <c r="D11" s="96">
        <f>SUM(Fev!I36)</f>
        <v>0</v>
      </c>
      <c r="E11" s="114">
        <f>SUM(Mar!I36)</f>
        <v>0</v>
      </c>
      <c r="F11" s="96">
        <f>SUM(Abr!I36)</f>
        <v>0</v>
      </c>
      <c r="G11" s="114">
        <f>SUM(Mai!I36)</f>
        <v>0</v>
      </c>
      <c r="H11" s="96">
        <f>SUM(Jun!I36)</f>
        <v>0</v>
      </c>
      <c r="I11" s="114">
        <f>SUM(Jul!I36)</f>
        <v>0</v>
      </c>
      <c r="J11" s="96">
        <f>SUM(Ago!I36)</f>
        <v>0</v>
      </c>
      <c r="K11" s="114">
        <f>SUM(Set!I36)</f>
        <v>0</v>
      </c>
      <c r="L11" s="96">
        <f>SUM(Out!I36)</f>
        <v>0</v>
      </c>
      <c r="M11" s="114">
        <f>SUM(Nov!I36)</f>
        <v>0</v>
      </c>
      <c r="N11" s="96">
        <f>SUM(Dez!I36)</f>
        <v>0</v>
      </c>
      <c r="P11" s="121" t="s">
        <v>142</v>
      </c>
      <c r="Q11" s="115">
        <f>SUM(C11:N11)</f>
        <v>0</v>
      </c>
    </row>
    <row r="12" spans="2:17" x14ac:dyDescent="0.25">
      <c r="B12" s="121" t="s">
        <v>143</v>
      </c>
      <c r="C12" s="115">
        <f>SUM(Jan!I37)</f>
        <v>0</v>
      </c>
      <c r="D12" s="96">
        <f>SUM(Fev!I37)</f>
        <v>0</v>
      </c>
      <c r="E12" s="114">
        <f>SUM(Mar!I37)</f>
        <v>0</v>
      </c>
      <c r="F12" s="96">
        <f>SUM(Abr!I37)</f>
        <v>0</v>
      </c>
      <c r="G12" s="114">
        <f>SUM(Mai!I37)</f>
        <v>0</v>
      </c>
      <c r="H12" s="96">
        <f>SUM(Jun!I37)</f>
        <v>0</v>
      </c>
      <c r="I12" s="114">
        <f>SUM(Jul!I37)</f>
        <v>0</v>
      </c>
      <c r="J12" s="96">
        <f>SUM(Ago!I37)</f>
        <v>0</v>
      </c>
      <c r="K12" s="114">
        <f>SUM(Set!I37)</f>
        <v>0</v>
      </c>
      <c r="L12" s="96">
        <f>SUM(Out!I37)</f>
        <v>0</v>
      </c>
      <c r="M12" s="114">
        <f>SUM(Nov!I37)</f>
        <v>0</v>
      </c>
      <c r="N12" s="96">
        <f>SUM(Dez!I37)</f>
        <v>0</v>
      </c>
      <c r="P12" s="121" t="s">
        <v>143</v>
      </c>
      <c r="Q12" s="115">
        <f>SUM(C12:N12)</f>
        <v>0</v>
      </c>
    </row>
    <row r="13" spans="2:17" x14ac:dyDescent="0.25">
      <c r="B13" s="121" t="s">
        <v>144</v>
      </c>
      <c r="C13" s="115">
        <f>SUM(Jan!I38)</f>
        <v>0</v>
      </c>
      <c r="D13" s="96">
        <f>SUM(Fev!I38)</f>
        <v>0</v>
      </c>
      <c r="E13" s="114">
        <f>SUM(Mar!I38)</f>
        <v>0</v>
      </c>
      <c r="F13" s="96">
        <f>SUM(Abr!I38)</f>
        <v>0</v>
      </c>
      <c r="G13" s="114">
        <f>SUM(Mai!I38)</f>
        <v>0</v>
      </c>
      <c r="H13" s="96">
        <f>SUM(Jun!I38)</f>
        <v>0</v>
      </c>
      <c r="I13" s="114">
        <f>SUM(Jul!I38)</f>
        <v>0</v>
      </c>
      <c r="J13" s="96">
        <f>SUM(Ago!I38)</f>
        <v>0</v>
      </c>
      <c r="K13" s="114">
        <f>SUM(Set!I38)</f>
        <v>0</v>
      </c>
      <c r="L13" s="96">
        <f>SUM(Out!I38)</f>
        <v>0</v>
      </c>
      <c r="M13" s="114">
        <f>SUM(Nov!I38)</f>
        <v>0</v>
      </c>
      <c r="N13" s="96">
        <f>SUM(Dez!I38)</f>
        <v>0</v>
      </c>
      <c r="P13" s="121" t="s">
        <v>144</v>
      </c>
      <c r="Q13" s="115">
        <f>SUM(C13:N13)</f>
        <v>0</v>
      </c>
    </row>
    <row r="14" spans="2:17" x14ac:dyDescent="0.25">
      <c r="B14" s="121" t="s">
        <v>135</v>
      </c>
      <c r="C14" s="115">
        <f>SUM(Jan!I39)</f>
        <v>0</v>
      </c>
      <c r="D14" s="96">
        <f>SUM(Fev!I39)</f>
        <v>0</v>
      </c>
      <c r="E14" s="114">
        <f>SUM(Mar!I39)</f>
        <v>0</v>
      </c>
      <c r="F14" s="96">
        <f>SUM(Abr!I39)</f>
        <v>0</v>
      </c>
      <c r="G14" s="114">
        <f>SUM(Mai!I39)</f>
        <v>0</v>
      </c>
      <c r="H14" s="96">
        <f>SUM(Jun!I39)</f>
        <v>0</v>
      </c>
      <c r="I14" s="114">
        <f>SUM(Jul!I39)</f>
        <v>0</v>
      </c>
      <c r="J14" s="96">
        <f>SUM(Ago!I39)</f>
        <v>0</v>
      </c>
      <c r="K14" s="114">
        <f>SUM(Set!I39)</f>
        <v>0</v>
      </c>
      <c r="L14" s="96">
        <f>SUM(Out!I39)</f>
        <v>0</v>
      </c>
      <c r="M14" s="114">
        <f>SUM(Nov!I39)</f>
        <v>0</v>
      </c>
      <c r="N14" s="96">
        <f>SUM(Dez!I39)</f>
        <v>0</v>
      </c>
      <c r="P14" s="121" t="s">
        <v>135</v>
      </c>
      <c r="Q14" s="115">
        <f>SUM(C14:N14)</f>
        <v>0</v>
      </c>
    </row>
    <row r="15" spans="2:17" x14ac:dyDescent="0.25">
      <c r="B15" s="121" t="s">
        <v>136</v>
      </c>
      <c r="C15" s="115">
        <f>SUM(Jan!I40)</f>
        <v>0</v>
      </c>
      <c r="D15" s="96">
        <f>SUM(Fev!I40)</f>
        <v>0</v>
      </c>
      <c r="E15" s="114">
        <f>SUM(Mar!I40)</f>
        <v>0</v>
      </c>
      <c r="F15" s="96">
        <f>SUM(Abr!I40)</f>
        <v>0</v>
      </c>
      <c r="G15" s="114">
        <f>SUM(Mai!I40)</f>
        <v>0</v>
      </c>
      <c r="H15" s="96">
        <f>SUM(Jun!I40)</f>
        <v>0</v>
      </c>
      <c r="I15" s="114">
        <f>SUM(Jul!I40)</f>
        <v>0</v>
      </c>
      <c r="J15" s="96">
        <f>SUM(Ago!I40)</f>
        <v>0</v>
      </c>
      <c r="K15" s="114">
        <f>SUM(Set!I40)</f>
        <v>0</v>
      </c>
      <c r="L15" s="96">
        <f>SUM(Out!I40)</f>
        <v>0</v>
      </c>
      <c r="M15" s="114">
        <f>SUM(Nov!I40)</f>
        <v>30</v>
      </c>
      <c r="N15" s="96">
        <f>SUM(Dez!I40)</f>
        <v>0</v>
      </c>
      <c r="P15" s="121" t="s">
        <v>136</v>
      </c>
      <c r="Q15" s="115">
        <f>SUM(C15:N15)</f>
        <v>30</v>
      </c>
    </row>
    <row r="16" spans="2:17" x14ac:dyDescent="0.25">
      <c r="B16" s="121" t="s">
        <v>145</v>
      </c>
      <c r="C16" s="115">
        <f>SUM(Jan!I41)</f>
        <v>0</v>
      </c>
      <c r="D16" s="96">
        <f>SUM(Fev!I41)</f>
        <v>0</v>
      </c>
      <c r="E16" s="114">
        <f>SUM(Mar!I41)</f>
        <v>0</v>
      </c>
      <c r="F16" s="96">
        <f>SUM(Abr!I41)</f>
        <v>0</v>
      </c>
      <c r="G16" s="114">
        <f>SUM(Mai!I41)</f>
        <v>0</v>
      </c>
      <c r="H16" s="96">
        <f>SUM(Jun!I41)</f>
        <v>0</v>
      </c>
      <c r="I16" s="114">
        <f>SUM(Jul!I41)</f>
        <v>0</v>
      </c>
      <c r="J16" s="96">
        <f>SUM(Ago!I41)</f>
        <v>0</v>
      </c>
      <c r="K16" s="114">
        <f>SUM(Set!I41)</f>
        <v>0</v>
      </c>
      <c r="L16" s="96">
        <f>SUM(Out!I41)</f>
        <v>0</v>
      </c>
      <c r="M16" s="114">
        <f>SUM(Nov!I41)</f>
        <v>0</v>
      </c>
      <c r="N16" s="96">
        <f>SUM(Dez!I41)</f>
        <v>0</v>
      </c>
      <c r="P16" s="121" t="s">
        <v>145</v>
      </c>
      <c r="Q16" s="115">
        <f>SUM(C16:N16)</f>
        <v>0</v>
      </c>
    </row>
    <row r="17" spans="2:17" x14ac:dyDescent="0.25">
      <c r="B17" s="121" t="s">
        <v>137</v>
      </c>
      <c r="C17" s="115">
        <f>SUM(Jan!I42)</f>
        <v>0</v>
      </c>
      <c r="D17" s="96">
        <f>SUM(Fev!I42)</f>
        <v>0</v>
      </c>
      <c r="E17" s="114">
        <f>SUM(Mar!I42)</f>
        <v>0</v>
      </c>
      <c r="F17" s="96">
        <f>SUM(Abr!I42)</f>
        <v>0</v>
      </c>
      <c r="G17" s="114">
        <f>SUM(Mai!I42)</f>
        <v>0</v>
      </c>
      <c r="H17" s="96">
        <f>SUM(Jun!I42)</f>
        <v>0</v>
      </c>
      <c r="I17" s="114">
        <f>SUM(Jul!I42)</f>
        <v>0</v>
      </c>
      <c r="J17" s="96">
        <f>SUM(Ago!I42)</f>
        <v>0</v>
      </c>
      <c r="K17" s="114">
        <f>SUM(Set!I42)</f>
        <v>0</v>
      </c>
      <c r="L17" s="96">
        <f>SUM(Out!I42)</f>
        <v>0</v>
      </c>
      <c r="M17" s="114">
        <f>SUM(Nov!I42)</f>
        <v>0</v>
      </c>
      <c r="N17" s="96">
        <f>SUM(Dez!I42)</f>
        <v>0</v>
      </c>
      <c r="P17" s="121" t="s">
        <v>137</v>
      </c>
      <c r="Q17" s="115">
        <f>SUM(C17:N17)</f>
        <v>0</v>
      </c>
    </row>
    <row r="18" spans="2:17" x14ac:dyDescent="0.25">
      <c r="B18" s="121" t="s">
        <v>138</v>
      </c>
      <c r="C18" s="115">
        <f>SUM(Jan!I43)</f>
        <v>0</v>
      </c>
      <c r="D18" s="96">
        <f>SUM(Fev!I43)</f>
        <v>0</v>
      </c>
      <c r="E18" s="114">
        <f>SUM(Mar!I43)</f>
        <v>0</v>
      </c>
      <c r="F18" s="96">
        <f>SUM(Abr!I43)</f>
        <v>0</v>
      </c>
      <c r="G18" s="114">
        <f>SUM(Mai!I43)</f>
        <v>0</v>
      </c>
      <c r="H18" s="96">
        <f>SUM(Jun!I43)</f>
        <v>0</v>
      </c>
      <c r="I18" s="114">
        <f>SUM(Jul!I43)</f>
        <v>0</v>
      </c>
      <c r="J18" s="96">
        <f>SUM(Ago!I43)</f>
        <v>0</v>
      </c>
      <c r="K18" s="114">
        <f>SUM(Set!I43)</f>
        <v>0</v>
      </c>
      <c r="L18" s="96">
        <f>SUM(Out!I43)</f>
        <v>0</v>
      </c>
      <c r="M18" s="114">
        <f>SUM(Nov!I43)</f>
        <v>0</v>
      </c>
      <c r="N18" s="96">
        <f>SUM(Dez!I43)</f>
        <v>0</v>
      </c>
      <c r="P18" s="121" t="s">
        <v>138</v>
      </c>
      <c r="Q18" s="115">
        <f>SUM(C18:N18)</f>
        <v>0</v>
      </c>
    </row>
    <row r="19" spans="2:17" x14ac:dyDescent="0.25">
      <c r="B19" s="121" t="s">
        <v>139</v>
      </c>
      <c r="C19" s="115">
        <f>SUM(Jan!I44)</f>
        <v>0</v>
      </c>
      <c r="D19" s="96">
        <f>SUM(Fev!I44)</f>
        <v>0</v>
      </c>
      <c r="E19" s="114">
        <f>SUM(Mar!I44)</f>
        <v>0</v>
      </c>
      <c r="F19" s="96">
        <f>SUM(Abr!I44)</f>
        <v>0</v>
      </c>
      <c r="G19" s="114">
        <f>SUM(Mai!I44)</f>
        <v>0</v>
      </c>
      <c r="H19" s="96">
        <f>SUM(Jun!I44)</f>
        <v>0</v>
      </c>
      <c r="I19" s="114">
        <f>SUM(Jul!I44)</f>
        <v>0</v>
      </c>
      <c r="J19" s="96">
        <f>SUM(Ago!I44)</f>
        <v>0</v>
      </c>
      <c r="K19" s="114">
        <f>SUM(Set!I44)</f>
        <v>0</v>
      </c>
      <c r="L19" s="96">
        <f>SUM(Out!I44)</f>
        <v>0</v>
      </c>
      <c r="M19" s="114">
        <f>SUM(Nov!I44)</f>
        <v>0</v>
      </c>
      <c r="N19" s="96">
        <f>SUM(Dez!I44)</f>
        <v>0</v>
      </c>
      <c r="P19" s="121" t="s">
        <v>139</v>
      </c>
      <c r="Q19" s="115">
        <f>SUM(C19:N19)</f>
        <v>0</v>
      </c>
    </row>
    <row r="20" spans="2:17" x14ac:dyDescent="0.25">
      <c r="B20" s="121" t="s">
        <v>140</v>
      </c>
      <c r="C20" s="115">
        <f>SUM(Jan!I45)</f>
        <v>0</v>
      </c>
      <c r="D20" s="96">
        <f>SUM(Fev!I45)</f>
        <v>0</v>
      </c>
      <c r="E20" s="114">
        <f>SUM(Mar!I45)</f>
        <v>0</v>
      </c>
      <c r="F20" s="96">
        <f>SUM(Abr!I45)</f>
        <v>0</v>
      </c>
      <c r="G20" s="114">
        <f>SUM(Mai!I45)</f>
        <v>0</v>
      </c>
      <c r="H20" s="96">
        <f>SUM(Jun!I45)</f>
        <v>0</v>
      </c>
      <c r="I20" s="114">
        <f>SUM(Jul!I45)</f>
        <v>0</v>
      </c>
      <c r="J20" s="96">
        <f>SUM(Ago!I45)</f>
        <v>0</v>
      </c>
      <c r="K20" s="114">
        <f>SUM(Set!I45)</f>
        <v>0</v>
      </c>
      <c r="L20" s="96">
        <f>SUM(Out!I45)</f>
        <v>0</v>
      </c>
      <c r="M20" s="114">
        <f>SUM(Nov!I45)</f>
        <v>0</v>
      </c>
      <c r="N20" s="96">
        <f>SUM(Dez!I45)</f>
        <v>0</v>
      </c>
      <c r="P20" s="121" t="s">
        <v>140</v>
      </c>
      <c r="Q20" s="115">
        <f>SUM(C20:N20)</f>
        <v>0</v>
      </c>
    </row>
    <row r="21" spans="2:17" x14ac:dyDescent="0.25">
      <c r="B21" s="121" t="s">
        <v>146</v>
      </c>
      <c r="C21" s="115">
        <f>SUM(Jan!I46)</f>
        <v>0</v>
      </c>
      <c r="D21" s="96">
        <f>SUM(Fev!I46)</f>
        <v>0</v>
      </c>
      <c r="E21" s="114">
        <f>SUM(Mar!I46)</f>
        <v>0</v>
      </c>
      <c r="F21" s="96">
        <f>SUM(Abr!I46)</f>
        <v>0</v>
      </c>
      <c r="G21" s="114">
        <f>SUM(Mai!I46)</f>
        <v>0</v>
      </c>
      <c r="H21" s="96">
        <f>SUM(Jun!I46)</f>
        <v>0</v>
      </c>
      <c r="I21" s="114">
        <f>SUM(Jul!I46)</f>
        <v>0</v>
      </c>
      <c r="J21" s="96">
        <f>SUM(Ago!I46)</f>
        <v>0</v>
      </c>
      <c r="K21" s="114">
        <f>SUM(Set!I46)</f>
        <v>0</v>
      </c>
      <c r="L21" s="96">
        <f>SUM(Out!I46)</f>
        <v>0</v>
      </c>
      <c r="M21" s="114">
        <f>SUM(Nov!I46)</f>
        <v>0</v>
      </c>
      <c r="N21" s="96">
        <f>SUM(Dez!I46)</f>
        <v>0</v>
      </c>
      <c r="P21" s="121" t="s">
        <v>146</v>
      </c>
      <c r="Q21" s="115">
        <f>SUM(C21:N21)</f>
        <v>0</v>
      </c>
    </row>
    <row r="22" spans="2:17" x14ac:dyDescent="0.25">
      <c r="B22" s="121" t="s">
        <v>147</v>
      </c>
      <c r="C22" s="115">
        <f>SUM(Jan!I47)</f>
        <v>0</v>
      </c>
      <c r="D22" s="96">
        <f>SUM(Fev!I47)</f>
        <v>0</v>
      </c>
      <c r="E22" s="114">
        <f>SUM(Mar!I47)</f>
        <v>0</v>
      </c>
      <c r="F22" s="96">
        <f>SUM(Abr!I47)</f>
        <v>0</v>
      </c>
      <c r="G22" s="114">
        <f>SUM(Mai!I47)</f>
        <v>0</v>
      </c>
      <c r="H22" s="96">
        <f>SUM(Jun!I47)</f>
        <v>0</v>
      </c>
      <c r="I22" s="114">
        <f>SUM(Jul!I47)</f>
        <v>0</v>
      </c>
      <c r="J22" s="96">
        <f>SUM(Ago!I47)</f>
        <v>0</v>
      </c>
      <c r="K22" s="114">
        <f>SUM(Set!I47)</f>
        <v>0</v>
      </c>
      <c r="L22" s="96">
        <f>SUM(Out!I47)</f>
        <v>0</v>
      </c>
      <c r="M22" s="114">
        <f>SUM(Nov!I47)</f>
        <v>0</v>
      </c>
      <c r="N22" s="96">
        <f>SUM(Dez!I47)</f>
        <v>0</v>
      </c>
      <c r="P22" s="121" t="s">
        <v>147</v>
      </c>
      <c r="Q22" s="115">
        <f>SUM(C22:N22)</f>
        <v>0</v>
      </c>
    </row>
    <row r="23" spans="2:17" ht="15.75" thickBot="1" x14ac:dyDescent="0.3">
      <c r="B23" s="122" t="s">
        <v>148</v>
      </c>
      <c r="C23" s="116">
        <f>SUM(Jan!I48)</f>
        <v>0</v>
      </c>
      <c r="D23" s="113">
        <f>SUM(Fev!I48)</f>
        <v>0</v>
      </c>
      <c r="E23" s="117">
        <f>SUM(Mar!I48)</f>
        <v>0</v>
      </c>
      <c r="F23" s="113">
        <f>SUM(Abr!I48)</f>
        <v>0</v>
      </c>
      <c r="G23" s="117">
        <f>SUM(Mai!I48)</f>
        <v>0</v>
      </c>
      <c r="H23" s="113">
        <f>SUM(Jun!I48)</f>
        <v>0</v>
      </c>
      <c r="I23" s="117">
        <f>SUM(Jul!I48)</f>
        <v>0</v>
      </c>
      <c r="J23" s="113">
        <f>SUM(Ago!I48)</f>
        <v>0</v>
      </c>
      <c r="K23" s="117">
        <f>SUM(Set!I48)</f>
        <v>0</v>
      </c>
      <c r="L23" s="113">
        <f>SUM(Out!I48)</f>
        <v>0</v>
      </c>
      <c r="M23" s="117">
        <f>SUM(Nov!I48)</f>
        <v>347.5</v>
      </c>
      <c r="N23" s="113">
        <f>SUM(Dez!I48)</f>
        <v>0</v>
      </c>
      <c r="P23" s="122" t="s">
        <v>148</v>
      </c>
      <c r="Q23" s="116">
        <f>SUM(C23:N23)</f>
        <v>347.5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"/>
  <sheetViews>
    <sheetView showGridLines="0" workbookViewId="0">
      <selection activeCell="H14" sqref="H1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R96"/>
  <sheetViews>
    <sheetView showGridLines="0" topLeftCell="B1" zoomScaleNormal="100" workbookViewId="0">
      <selection activeCell="R11" sqref="R11"/>
    </sheetView>
  </sheetViews>
  <sheetFormatPr defaultRowHeight="15" x14ac:dyDescent="0.25"/>
  <cols>
    <col min="1" max="1" width="3" customWidth="1"/>
    <col min="2" max="2" width="12.42578125" customWidth="1"/>
    <col min="3" max="3" width="39.140625" bestFit="1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11" width="15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43.42578125" bestFit="1" customWidth="1"/>
  </cols>
  <sheetData>
    <row r="1" spans="2:18" ht="15.75" thickBot="1" x14ac:dyDescent="0.3"/>
    <row r="2" spans="2:18" ht="15.75" thickBot="1" x14ac:dyDescent="0.3">
      <c r="B2" s="11"/>
      <c r="C2" s="32" t="s">
        <v>1</v>
      </c>
      <c r="D2" s="31" t="s">
        <v>2</v>
      </c>
      <c r="F2" s="5" t="s">
        <v>3</v>
      </c>
      <c r="H2" s="83"/>
      <c r="I2" s="83"/>
      <c r="J2" s="83"/>
      <c r="K2" s="83"/>
    </row>
    <row r="3" spans="2:18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67</v>
      </c>
      <c r="N3" s="56" t="s">
        <v>68</v>
      </c>
      <c r="P3" s="60" t="s">
        <v>35</v>
      </c>
      <c r="R3" s="118" t="s">
        <v>141</v>
      </c>
    </row>
    <row r="4" spans="2:18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45971</v>
      </c>
      <c r="M4" s="60" t="str">
        <f>P3</f>
        <v>Alimentação</v>
      </c>
      <c r="N4" s="58" t="s">
        <v>69</v>
      </c>
      <c r="P4" s="60" t="s">
        <v>22</v>
      </c>
      <c r="R4" s="118" t="s">
        <v>142</v>
      </c>
    </row>
    <row r="5" spans="2:18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70</v>
      </c>
      <c r="P5" s="60" t="s">
        <v>28</v>
      </c>
      <c r="R5" s="118" t="s">
        <v>143</v>
      </c>
    </row>
    <row r="6" spans="2:18" ht="15.75" thickBot="1" x14ac:dyDescent="0.3">
      <c r="B6" s="24"/>
      <c r="C6" s="25"/>
      <c r="D6" s="27"/>
      <c r="F6" s="33"/>
      <c r="I6" s="14">
        <v>45847</v>
      </c>
      <c r="N6" s="58" t="s">
        <v>71</v>
      </c>
      <c r="P6" s="60" t="s">
        <v>72</v>
      </c>
      <c r="R6" s="118" t="s">
        <v>144</v>
      </c>
    </row>
    <row r="7" spans="2:18" ht="15.75" thickBot="1" x14ac:dyDescent="0.3">
      <c r="B7" s="8"/>
      <c r="C7" s="9"/>
      <c r="D7" s="28"/>
      <c r="F7" s="40">
        <f>F3-F4-F5</f>
        <v>0</v>
      </c>
      <c r="N7" s="58" t="s">
        <v>36</v>
      </c>
      <c r="P7" s="60" t="s">
        <v>25</v>
      </c>
      <c r="R7" s="118" t="s">
        <v>135</v>
      </c>
    </row>
    <row r="8" spans="2:18" ht="15.75" thickBot="1" x14ac:dyDescent="0.3">
      <c r="N8" s="58"/>
      <c r="P8" s="60" t="s">
        <v>73</v>
      </c>
      <c r="R8" s="118" t="s">
        <v>136</v>
      </c>
    </row>
    <row r="9" spans="2:18" ht="15.75" thickBot="1" x14ac:dyDescent="0.3">
      <c r="B9" s="79" t="s">
        <v>9</v>
      </c>
      <c r="C9" s="80"/>
      <c r="D9" s="80"/>
      <c r="E9" s="80"/>
      <c r="F9" s="81"/>
      <c r="H9" s="82" t="s">
        <v>10</v>
      </c>
      <c r="I9" s="82"/>
      <c r="J9" s="82"/>
      <c r="K9" s="82"/>
      <c r="N9" s="57"/>
      <c r="P9" s="60" t="s">
        <v>74</v>
      </c>
      <c r="R9" s="118" t="s">
        <v>151</v>
      </c>
    </row>
    <row r="10" spans="2:18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75</v>
      </c>
      <c r="P10" s="60" t="s">
        <v>44</v>
      </c>
      <c r="R10" s="118" t="s">
        <v>137</v>
      </c>
    </row>
    <row r="11" spans="2:18" x14ac:dyDescent="0.25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  <c r="R11" s="118" t="s">
        <v>138</v>
      </c>
    </row>
    <row r="12" spans="2:18" x14ac:dyDescent="0.25">
      <c r="B12" s="22"/>
      <c r="C12" s="7"/>
      <c r="D12" s="7"/>
      <c r="E12" s="7"/>
      <c r="F12" s="35"/>
      <c r="H12" s="19"/>
      <c r="I12" s="13"/>
      <c r="J12" s="13"/>
      <c r="K12" s="2"/>
      <c r="N12" s="58" t="s">
        <v>39</v>
      </c>
      <c r="R12" s="118" t="s">
        <v>139</v>
      </c>
    </row>
    <row r="13" spans="2:18" x14ac:dyDescent="0.25">
      <c r="B13" s="22"/>
      <c r="C13" s="7"/>
      <c r="D13" s="7"/>
      <c r="E13" s="7"/>
      <c r="F13" s="35"/>
      <c r="H13" s="19"/>
      <c r="I13" s="13"/>
      <c r="J13" s="13"/>
      <c r="K13" s="2"/>
      <c r="N13" s="58" t="s">
        <v>77</v>
      </c>
      <c r="R13" s="118" t="s">
        <v>140</v>
      </c>
    </row>
    <row r="14" spans="2:18" x14ac:dyDescent="0.25">
      <c r="B14" s="22"/>
      <c r="C14" s="7"/>
      <c r="D14" s="7"/>
      <c r="E14" s="7"/>
      <c r="F14" s="35"/>
      <c r="H14" s="19"/>
      <c r="I14" s="13"/>
      <c r="J14" s="13"/>
      <c r="K14" s="2"/>
      <c r="N14" s="58" t="s">
        <v>42</v>
      </c>
      <c r="R14" s="118" t="s">
        <v>146</v>
      </c>
    </row>
    <row r="15" spans="2:18" x14ac:dyDescent="0.25">
      <c r="B15" s="22"/>
      <c r="C15" s="7"/>
      <c r="D15" s="7"/>
      <c r="E15" s="7"/>
      <c r="F15" s="35"/>
      <c r="H15" s="19"/>
      <c r="I15" s="13"/>
      <c r="J15" s="13"/>
      <c r="K15" s="2"/>
      <c r="N15" s="58" t="s">
        <v>129</v>
      </c>
      <c r="R15" s="118" t="s">
        <v>147</v>
      </c>
    </row>
    <row r="16" spans="2:18" x14ac:dyDescent="0.25">
      <c r="B16" s="22"/>
      <c r="C16" s="7"/>
      <c r="D16" s="7"/>
      <c r="E16" s="7"/>
      <c r="F16" s="35"/>
      <c r="H16" s="19"/>
      <c r="I16" s="13"/>
      <c r="J16" s="13"/>
      <c r="K16" s="2"/>
      <c r="N16" s="59"/>
      <c r="R16" s="118" t="s">
        <v>148</v>
      </c>
    </row>
    <row r="17" spans="2:14" x14ac:dyDescent="0.25">
      <c r="B17" s="22"/>
      <c r="C17" s="7"/>
      <c r="D17" s="7"/>
      <c r="E17" s="7"/>
      <c r="F17" s="35"/>
      <c r="H17" s="19"/>
      <c r="I17" s="13"/>
      <c r="J17" s="13"/>
      <c r="K17" s="2"/>
    </row>
    <row r="18" spans="2:14" x14ac:dyDescent="0.25">
      <c r="B18" s="22"/>
      <c r="C18" s="7"/>
      <c r="D18" s="7"/>
      <c r="E18" s="7"/>
      <c r="F18" s="35"/>
      <c r="H18" s="19"/>
      <c r="I18" s="13"/>
      <c r="J18" s="13"/>
      <c r="K18" s="2"/>
      <c r="N18" s="58" t="s">
        <v>130</v>
      </c>
    </row>
    <row r="19" spans="2:14" x14ac:dyDescent="0.25">
      <c r="B19" s="22"/>
      <c r="C19" s="7"/>
      <c r="D19" s="7"/>
      <c r="E19" s="7"/>
      <c r="F19" s="35"/>
      <c r="H19" s="19"/>
      <c r="I19" s="13"/>
      <c r="J19" s="13"/>
      <c r="K19" s="2"/>
      <c r="M19" s="60" t="str">
        <f>P5</f>
        <v>Despesas</v>
      </c>
      <c r="N19" s="58" t="s">
        <v>79</v>
      </c>
    </row>
    <row r="20" spans="2:14" x14ac:dyDescent="0.25">
      <c r="B20" s="22"/>
      <c r="C20" s="7"/>
      <c r="D20" s="7"/>
      <c r="E20" s="7"/>
      <c r="F20" s="35"/>
      <c r="H20" s="19"/>
      <c r="I20" s="13"/>
      <c r="J20" s="13"/>
      <c r="K20" s="2"/>
      <c r="N20" s="58" t="s">
        <v>81</v>
      </c>
    </row>
    <row r="21" spans="2:14" x14ac:dyDescent="0.25">
      <c r="B21" s="22"/>
      <c r="C21" s="7"/>
      <c r="D21" s="7"/>
      <c r="E21" s="7"/>
      <c r="F21" s="35"/>
      <c r="H21" s="19"/>
      <c r="I21" s="13"/>
      <c r="J21" s="13"/>
      <c r="K21" s="2"/>
      <c r="N21" s="58" t="s">
        <v>82</v>
      </c>
    </row>
    <row r="22" spans="2:14" ht="15.75" thickBot="1" x14ac:dyDescent="0.3">
      <c r="B22" s="22"/>
      <c r="C22" s="7"/>
      <c r="D22" s="7"/>
      <c r="E22" s="7"/>
      <c r="F22" s="35"/>
      <c r="H22" s="20"/>
      <c r="I22" s="13"/>
      <c r="J22" s="13"/>
      <c r="K22" s="4"/>
      <c r="N22" s="58" t="s">
        <v>83</v>
      </c>
    </row>
    <row r="23" spans="2:14" x14ac:dyDescent="0.25">
      <c r="B23" s="22"/>
      <c r="C23" s="7"/>
      <c r="D23" s="7"/>
      <c r="E23" s="7"/>
      <c r="F23" s="35"/>
      <c r="N23" s="59"/>
    </row>
    <row r="24" spans="2:14" x14ac:dyDescent="0.25">
      <c r="B24" s="22"/>
      <c r="C24" s="7"/>
      <c r="D24" s="7"/>
      <c r="E24" s="7"/>
      <c r="F24" s="35"/>
    </row>
    <row r="25" spans="2:14" x14ac:dyDescent="0.25">
      <c r="B25" s="22"/>
      <c r="C25" s="7"/>
      <c r="D25" s="7"/>
      <c r="E25" s="7"/>
      <c r="F25" s="35"/>
      <c r="N25" s="58" t="s">
        <v>84</v>
      </c>
    </row>
    <row r="26" spans="2:14" x14ac:dyDescent="0.25">
      <c r="B26" s="22"/>
      <c r="C26" s="7"/>
      <c r="D26" s="7"/>
      <c r="E26" s="7"/>
      <c r="F26" s="35"/>
      <c r="N26" s="58" t="s">
        <v>131</v>
      </c>
    </row>
    <row r="27" spans="2:14" x14ac:dyDescent="0.25">
      <c r="B27" s="22"/>
      <c r="C27" s="7"/>
      <c r="D27" s="7"/>
      <c r="E27" s="7"/>
      <c r="F27" s="35"/>
      <c r="N27" s="58" t="s">
        <v>132</v>
      </c>
    </row>
    <row r="28" spans="2:14" x14ac:dyDescent="0.25">
      <c r="B28" s="22"/>
      <c r="C28" s="7"/>
      <c r="D28" s="7"/>
      <c r="E28" s="7"/>
      <c r="F28" s="35"/>
      <c r="M28" s="60" t="str">
        <f>P6</f>
        <v>Moradia</v>
      </c>
      <c r="N28" s="58" t="s">
        <v>133</v>
      </c>
    </row>
    <row r="29" spans="2:14" x14ac:dyDescent="0.25">
      <c r="B29" s="22"/>
      <c r="C29" s="7"/>
      <c r="D29" s="7"/>
      <c r="E29" s="7"/>
      <c r="F29" s="35"/>
      <c r="N29" s="58" t="s">
        <v>88</v>
      </c>
    </row>
    <row r="30" spans="2:14" x14ac:dyDescent="0.25">
      <c r="B30" s="22"/>
      <c r="C30" s="7"/>
      <c r="D30" s="7"/>
      <c r="E30" s="7"/>
      <c r="F30" s="35"/>
      <c r="N30" s="58"/>
    </row>
    <row r="31" spans="2:14" x14ac:dyDescent="0.25">
      <c r="B31" s="22"/>
      <c r="C31" s="7"/>
      <c r="D31" s="7"/>
      <c r="E31" s="7"/>
      <c r="F31" s="35"/>
      <c r="N31" s="59"/>
    </row>
    <row r="32" spans="2:14" ht="15.75" thickBot="1" x14ac:dyDescent="0.3">
      <c r="B32" s="23"/>
      <c r="C32" s="9"/>
      <c r="D32" s="9"/>
      <c r="E32" s="9"/>
      <c r="F32" s="36"/>
    </row>
    <row r="33" spans="2:14" ht="15.75" thickBot="1" x14ac:dyDescent="0.3">
      <c r="N33" s="58" t="s">
        <v>90</v>
      </c>
    </row>
    <row r="34" spans="2:14" ht="15.75" thickBot="1" x14ac:dyDescent="0.3">
      <c r="B34" s="86" t="s">
        <v>126</v>
      </c>
      <c r="C34" s="87"/>
      <c r="D34" s="87"/>
      <c r="E34" s="88"/>
      <c r="N34" s="58" t="s">
        <v>32</v>
      </c>
    </row>
    <row r="35" spans="2:14" x14ac:dyDescent="0.25">
      <c r="B35" s="89" t="str">
        <f>M4</f>
        <v>Alimentação</v>
      </c>
      <c r="C35" s="73" t="s">
        <v>69</v>
      </c>
      <c r="D35" s="74">
        <f>SUMIFS($F$11:$F$32,$D$11:$D$32,C35)</f>
        <v>0</v>
      </c>
      <c r="E35" s="84">
        <f>SUBTOTAL(9,D35:D39)</f>
        <v>0</v>
      </c>
      <c r="N35" s="58" t="s">
        <v>92</v>
      </c>
    </row>
    <row r="36" spans="2:14" x14ac:dyDescent="0.25">
      <c r="B36" s="90"/>
      <c r="C36" s="71" t="s">
        <v>70</v>
      </c>
      <c r="D36" s="70">
        <f t="shared" ref="D36:D39" si="0">SUMIFS($F$11:$F$32,$D$11:$D$32,C36)</f>
        <v>0</v>
      </c>
      <c r="E36" s="85"/>
      <c r="M36" s="60" t="str">
        <f>P7</f>
        <v>Transporte</v>
      </c>
      <c r="N36" s="58" t="s">
        <v>93</v>
      </c>
    </row>
    <row r="37" spans="2:14" x14ac:dyDescent="0.25">
      <c r="B37" s="90"/>
      <c r="C37" s="71" t="s">
        <v>71</v>
      </c>
      <c r="D37" s="70">
        <f t="shared" si="0"/>
        <v>0</v>
      </c>
      <c r="E37" s="85"/>
      <c r="N37" s="58" t="s">
        <v>26</v>
      </c>
    </row>
    <row r="38" spans="2:14" x14ac:dyDescent="0.25">
      <c r="B38" s="90"/>
      <c r="C38" s="71" t="s">
        <v>36</v>
      </c>
      <c r="D38" s="70">
        <f t="shared" si="0"/>
        <v>0</v>
      </c>
      <c r="E38" s="85"/>
      <c r="N38" s="59"/>
    </row>
    <row r="39" spans="2:14" ht="15.75" thickBot="1" x14ac:dyDescent="0.3">
      <c r="B39" s="90"/>
      <c r="C39" s="71"/>
      <c r="D39" s="70">
        <f t="shared" si="0"/>
        <v>0</v>
      </c>
      <c r="E39" s="92"/>
    </row>
    <row r="40" spans="2:14" ht="15.75" thickBot="1" x14ac:dyDescent="0.3">
      <c r="C40" s="57"/>
      <c r="N40" s="62" t="s">
        <v>94</v>
      </c>
    </row>
    <row r="41" spans="2:14" x14ac:dyDescent="0.25">
      <c r="B41" s="93" t="str">
        <f>M10</f>
        <v>Lazer</v>
      </c>
      <c r="C41" s="73" t="s">
        <v>75</v>
      </c>
      <c r="D41" s="74">
        <f>SUMIFS($F$11:$F$32,$D$11:$D$32,C41)</f>
        <v>0</v>
      </c>
      <c r="E41" s="84">
        <f>SUBTOTAL(9,D41:D48)</f>
        <v>0</v>
      </c>
      <c r="N41" s="62" t="s">
        <v>95</v>
      </c>
    </row>
    <row r="42" spans="2:14" x14ac:dyDescent="0.25">
      <c r="B42" s="94"/>
      <c r="C42" s="71" t="s">
        <v>23</v>
      </c>
      <c r="D42" s="70">
        <f t="shared" ref="D42:D56" si="1">SUMIFS($F$11:$F$32,$D$11:$D$32,C42)</f>
        <v>0</v>
      </c>
      <c r="E42" s="85"/>
      <c r="N42" s="62" t="s">
        <v>96</v>
      </c>
    </row>
    <row r="43" spans="2:14" x14ac:dyDescent="0.25">
      <c r="B43" s="94"/>
      <c r="C43" s="71" t="s">
        <v>39</v>
      </c>
      <c r="D43" s="70">
        <f t="shared" si="1"/>
        <v>0</v>
      </c>
      <c r="E43" s="85"/>
      <c r="N43" s="62" t="s">
        <v>98</v>
      </c>
    </row>
    <row r="44" spans="2:14" x14ac:dyDescent="0.25">
      <c r="B44" s="94"/>
      <c r="C44" s="71" t="s">
        <v>76</v>
      </c>
      <c r="D44" s="70">
        <f t="shared" si="1"/>
        <v>0</v>
      </c>
      <c r="E44" s="85"/>
      <c r="M44" s="60" t="str">
        <f>P8</f>
        <v>Educação</v>
      </c>
      <c r="N44" s="62" t="s">
        <v>134</v>
      </c>
    </row>
    <row r="45" spans="2:14" x14ac:dyDescent="0.25">
      <c r="B45" s="94"/>
      <c r="C45" s="71" t="s">
        <v>77</v>
      </c>
      <c r="D45" s="70">
        <f t="shared" si="1"/>
        <v>0</v>
      </c>
      <c r="E45" s="85"/>
      <c r="N45" s="61"/>
    </row>
    <row r="46" spans="2:14" x14ac:dyDescent="0.25">
      <c r="B46" s="94"/>
      <c r="C46" s="71" t="s">
        <v>42</v>
      </c>
      <c r="D46" s="70">
        <f t="shared" si="1"/>
        <v>0</v>
      </c>
      <c r="E46" s="85"/>
    </row>
    <row r="47" spans="2:14" x14ac:dyDescent="0.25">
      <c r="B47" s="94"/>
      <c r="C47" s="71" t="s">
        <v>78</v>
      </c>
      <c r="D47" s="70">
        <f t="shared" si="1"/>
        <v>0</v>
      </c>
      <c r="E47" s="85"/>
      <c r="N47" s="58" t="s">
        <v>100</v>
      </c>
    </row>
    <row r="48" spans="2:14" ht="15.75" thickBot="1" x14ac:dyDescent="0.3">
      <c r="B48" s="95"/>
      <c r="C48" s="77"/>
      <c r="D48" s="78">
        <f t="shared" si="1"/>
        <v>0</v>
      </c>
      <c r="E48" s="72"/>
      <c r="N48" s="58" t="s">
        <v>101</v>
      </c>
    </row>
    <row r="49" spans="2:14" ht="15.75" thickBot="1" x14ac:dyDescent="0.3">
      <c r="D49" s="69"/>
      <c r="N49" s="58" t="s">
        <v>102</v>
      </c>
    </row>
    <row r="50" spans="2:14" x14ac:dyDescent="0.25">
      <c r="B50" s="89" t="str">
        <f>M19</f>
        <v>Despesas</v>
      </c>
      <c r="C50" s="73" t="s">
        <v>29</v>
      </c>
      <c r="D50" s="74">
        <f t="shared" si="1"/>
        <v>0</v>
      </c>
      <c r="E50" s="84">
        <f>SUBTOTAL(9,D50:D56)</f>
        <v>0</v>
      </c>
      <c r="N50" s="58" t="s">
        <v>103</v>
      </c>
    </row>
    <row r="51" spans="2:14" x14ac:dyDescent="0.25">
      <c r="B51" s="90"/>
      <c r="C51" s="71" t="s">
        <v>79</v>
      </c>
      <c r="D51" s="70">
        <f t="shared" si="1"/>
        <v>0</v>
      </c>
      <c r="E51" s="85"/>
      <c r="N51" s="58" t="s">
        <v>105</v>
      </c>
    </row>
    <row r="52" spans="2:14" x14ac:dyDescent="0.25">
      <c r="B52" s="90"/>
      <c r="C52" s="71" t="s">
        <v>80</v>
      </c>
      <c r="D52" s="70">
        <f t="shared" si="1"/>
        <v>0</v>
      </c>
      <c r="E52" s="85"/>
      <c r="M52" s="60" t="str">
        <f>P9</f>
        <v>Saúde</v>
      </c>
      <c r="N52" s="59"/>
    </row>
    <row r="53" spans="2:14" x14ac:dyDescent="0.25">
      <c r="B53" s="90"/>
      <c r="C53" s="71" t="s">
        <v>81</v>
      </c>
      <c r="D53" s="70">
        <f t="shared" si="1"/>
        <v>0</v>
      </c>
      <c r="E53" s="85"/>
    </row>
    <row r="54" spans="2:14" x14ac:dyDescent="0.25">
      <c r="B54" s="90"/>
      <c r="C54" s="71" t="s">
        <v>82</v>
      </c>
      <c r="D54" s="70">
        <f t="shared" si="1"/>
        <v>0</v>
      </c>
      <c r="E54" s="85"/>
      <c r="N54" s="58" t="s">
        <v>106</v>
      </c>
    </row>
    <row r="55" spans="2:14" x14ac:dyDescent="0.25">
      <c r="B55" s="90"/>
      <c r="C55" s="71" t="s">
        <v>83</v>
      </c>
      <c r="D55" s="70">
        <f t="shared" si="1"/>
        <v>0</v>
      </c>
      <c r="E55" s="85"/>
      <c r="N55" s="58" t="s">
        <v>107</v>
      </c>
    </row>
    <row r="56" spans="2:14" ht="15.75" thickBot="1" x14ac:dyDescent="0.3">
      <c r="B56" s="91"/>
      <c r="C56" s="75"/>
      <c r="D56" s="76">
        <f t="shared" si="1"/>
        <v>0</v>
      </c>
      <c r="E56" s="92"/>
      <c r="N56" s="58" t="s">
        <v>108</v>
      </c>
    </row>
    <row r="57" spans="2:14" ht="15.75" thickBot="1" x14ac:dyDescent="0.3">
      <c r="D57" s="69"/>
      <c r="N57" s="58" t="s">
        <v>109</v>
      </c>
    </row>
    <row r="58" spans="2:14" x14ac:dyDescent="0.25">
      <c r="B58" s="89" t="str">
        <f>M28</f>
        <v>Moradia</v>
      </c>
      <c r="C58" s="73" t="s">
        <v>84</v>
      </c>
      <c r="D58" s="74">
        <f t="shared" ref="D58:D64" si="2">SUMIFS($F$11:$F$32,$D$11:$D$32,C58)</f>
        <v>0</v>
      </c>
      <c r="E58" s="84">
        <f>SUBTOTAL(9,D58:D64)</f>
        <v>0</v>
      </c>
      <c r="N58" s="58" t="s">
        <v>110</v>
      </c>
    </row>
    <row r="59" spans="2:14" x14ac:dyDescent="0.25">
      <c r="B59" s="90"/>
      <c r="C59" s="71" t="s">
        <v>85</v>
      </c>
      <c r="D59" s="70">
        <f t="shared" si="2"/>
        <v>0</v>
      </c>
      <c r="E59" s="85"/>
      <c r="M59" s="60" t="str">
        <f>P10</f>
        <v>Imprevistos</v>
      </c>
      <c r="N59" s="58" t="s">
        <v>45</v>
      </c>
    </row>
    <row r="60" spans="2:14" x14ac:dyDescent="0.25">
      <c r="B60" s="90"/>
      <c r="C60" s="71" t="s">
        <v>86</v>
      </c>
      <c r="D60" s="70">
        <f t="shared" si="2"/>
        <v>0</v>
      </c>
      <c r="E60" s="85"/>
      <c r="N60" s="59"/>
    </row>
    <row r="61" spans="2:14" x14ac:dyDescent="0.25">
      <c r="B61" s="90"/>
      <c r="C61" s="71" t="s">
        <v>87</v>
      </c>
      <c r="D61" s="70">
        <f t="shared" si="2"/>
        <v>0</v>
      </c>
      <c r="E61" s="85"/>
    </row>
    <row r="62" spans="2:14" x14ac:dyDescent="0.25">
      <c r="B62" s="90"/>
      <c r="C62" s="71" t="s">
        <v>88</v>
      </c>
      <c r="D62" s="70">
        <f t="shared" si="2"/>
        <v>0</v>
      </c>
      <c r="E62" s="85"/>
    </row>
    <row r="63" spans="2:14" x14ac:dyDescent="0.25">
      <c r="B63" s="90"/>
      <c r="C63" s="71" t="s">
        <v>89</v>
      </c>
      <c r="D63" s="70">
        <f t="shared" si="2"/>
        <v>0</v>
      </c>
      <c r="E63" s="85"/>
    </row>
    <row r="64" spans="2:14" ht="15.75" thickBot="1" x14ac:dyDescent="0.3">
      <c r="B64" s="91"/>
      <c r="C64" s="75"/>
      <c r="D64" s="76">
        <f t="shared" si="2"/>
        <v>0</v>
      </c>
      <c r="E64" s="92"/>
    </row>
    <row r="65" spans="2:5" ht="15.75" thickBot="1" x14ac:dyDescent="0.3">
      <c r="D65" s="69"/>
    </row>
    <row r="66" spans="2:5" x14ac:dyDescent="0.25">
      <c r="B66" s="89" t="str">
        <f>M36</f>
        <v>Transporte</v>
      </c>
      <c r="C66" s="73" t="s">
        <v>90</v>
      </c>
      <c r="D66" s="74">
        <f t="shared" ref="D66:D72" si="3">SUMIFS($F$11:$F$32,$D$11:$D$32,C66)</f>
        <v>0</v>
      </c>
      <c r="E66" s="84">
        <f>SUBTOTAL(9,D66:D72)</f>
        <v>0</v>
      </c>
    </row>
    <row r="67" spans="2:5" x14ac:dyDescent="0.25">
      <c r="B67" s="90"/>
      <c r="C67" s="71" t="s">
        <v>32</v>
      </c>
      <c r="D67" s="70">
        <f t="shared" si="3"/>
        <v>0</v>
      </c>
      <c r="E67" s="85"/>
    </row>
    <row r="68" spans="2:5" x14ac:dyDescent="0.25">
      <c r="B68" s="90"/>
      <c r="C68" s="71" t="s">
        <v>91</v>
      </c>
      <c r="D68" s="70">
        <f t="shared" si="3"/>
        <v>0</v>
      </c>
      <c r="E68" s="85"/>
    </row>
    <row r="69" spans="2:5" x14ac:dyDescent="0.25">
      <c r="B69" s="90"/>
      <c r="C69" s="71" t="s">
        <v>92</v>
      </c>
      <c r="D69" s="70">
        <f t="shared" si="3"/>
        <v>0</v>
      </c>
      <c r="E69" s="85"/>
    </row>
    <row r="70" spans="2:5" x14ac:dyDescent="0.25">
      <c r="B70" s="90"/>
      <c r="C70" s="71" t="s">
        <v>93</v>
      </c>
      <c r="D70" s="70">
        <f t="shared" si="3"/>
        <v>0</v>
      </c>
      <c r="E70" s="85"/>
    </row>
    <row r="71" spans="2:5" x14ac:dyDescent="0.25">
      <c r="B71" s="90"/>
      <c r="C71" s="71" t="s">
        <v>26</v>
      </c>
      <c r="D71" s="70">
        <f t="shared" si="3"/>
        <v>0</v>
      </c>
      <c r="E71" s="85"/>
    </row>
    <row r="72" spans="2:5" ht="15.75" thickBot="1" x14ac:dyDescent="0.3">
      <c r="B72" s="91"/>
      <c r="C72" s="75"/>
      <c r="D72" s="76">
        <f t="shared" si="3"/>
        <v>0</v>
      </c>
      <c r="E72" s="92"/>
    </row>
    <row r="73" spans="2:5" ht="15.75" thickBot="1" x14ac:dyDescent="0.3">
      <c r="D73" s="69"/>
    </row>
    <row r="74" spans="2:5" x14ac:dyDescent="0.25">
      <c r="B74" s="89" t="str">
        <f>M44</f>
        <v>Educação</v>
      </c>
      <c r="C74" s="73" t="s">
        <v>94</v>
      </c>
      <c r="D74" s="74">
        <f t="shared" ref="D74:D80" si="4">SUMIFS($F$11:$F$32,$D$11:$D$32,C74)</f>
        <v>0</v>
      </c>
      <c r="E74" s="84">
        <f>SUBTOTAL(9,D74:D80)</f>
        <v>0</v>
      </c>
    </row>
    <row r="75" spans="2:5" x14ac:dyDescent="0.25">
      <c r="B75" s="90"/>
      <c r="C75" s="71" t="s">
        <v>95</v>
      </c>
      <c r="D75" s="70">
        <f t="shared" si="4"/>
        <v>0</v>
      </c>
      <c r="E75" s="85"/>
    </row>
    <row r="76" spans="2:5" x14ac:dyDescent="0.25">
      <c r="B76" s="90"/>
      <c r="C76" s="71" t="s">
        <v>96</v>
      </c>
      <c r="D76" s="70">
        <f t="shared" si="4"/>
        <v>0</v>
      </c>
      <c r="E76" s="85"/>
    </row>
    <row r="77" spans="2:5" x14ac:dyDescent="0.25">
      <c r="B77" s="90"/>
      <c r="C77" s="71" t="s">
        <v>97</v>
      </c>
      <c r="D77" s="70">
        <f t="shared" si="4"/>
        <v>0</v>
      </c>
      <c r="E77" s="85"/>
    </row>
    <row r="78" spans="2:5" x14ac:dyDescent="0.25">
      <c r="B78" s="90"/>
      <c r="C78" s="71" t="s">
        <v>98</v>
      </c>
      <c r="D78" s="70">
        <f t="shared" si="4"/>
        <v>0</v>
      </c>
      <c r="E78" s="85"/>
    </row>
    <row r="79" spans="2:5" x14ac:dyDescent="0.25">
      <c r="B79" s="90"/>
      <c r="C79" s="71" t="s">
        <v>99</v>
      </c>
      <c r="D79" s="70">
        <f t="shared" si="4"/>
        <v>0</v>
      </c>
      <c r="E79" s="85"/>
    </row>
    <row r="80" spans="2:5" ht="15.75" thickBot="1" x14ac:dyDescent="0.3">
      <c r="B80" s="91"/>
      <c r="C80" s="75"/>
      <c r="D80" s="76">
        <f t="shared" si="4"/>
        <v>0</v>
      </c>
      <c r="E80" s="92"/>
    </row>
    <row r="81" spans="2:5" ht="15.75" thickBot="1" x14ac:dyDescent="0.3">
      <c r="D81" s="69"/>
    </row>
    <row r="82" spans="2:5" x14ac:dyDescent="0.25">
      <c r="B82" s="89" t="str">
        <f>M52</f>
        <v>Saúde</v>
      </c>
      <c r="C82" s="73" t="s">
        <v>100</v>
      </c>
      <c r="D82" s="74">
        <f t="shared" ref="D82:D88" si="5">SUMIFS($F$11:$F$32,$D$11:$D$32,C82)</f>
        <v>0</v>
      </c>
      <c r="E82" s="84">
        <f>SUBTOTAL(9,D82:D88)</f>
        <v>0</v>
      </c>
    </row>
    <row r="83" spans="2:5" x14ac:dyDescent="0.25">
      <c r="B83" s="90"/>
      <c r="C83" s="71" t="s">
        <v>101</v>
      </c>
      <c r="D83" s="70">
        <f t="shared" si="5"/>
        <v>0</v>
      </c>
      <c r="E83" s="85"/>
    </row>
    <row r="84" spans="2:5" x14ac:dyDescent="0.25">
      <c r="B84" s="90"/>
      <c r="C84" s="71" t="s">
        <v>102</v>
      </c>
      <c r="D84" s="70">
        <f t="shared" si="5"/>
        <v>0</v>
      </c>
      <c r="E84" s="85"/>
    </row>
    <row r="85" spans="2:5" x14ac:dyDescent="0.25">
      <c r="B85" s="90"/>
      <c r="C85" s="71" t="s">
        <v>103</v>
      </c>
      <c r="D85" s="70">
        <f t="shared" si="5"/>
        <v>0</v>
      </c>
      <c r="E85" s="85"/>
    </row>
    <row r="86" spans="2:5" x14ac:dyDescent="0.25">
      <c r="B86" s="90"/>
      <c r="C86" s="71" t="s">
        <v>104</v>
      </c>
      <c r="D86" s="70">
        <f t="shared" si="5"/>
        <v>0</v>
      </c>
      <c r="E86" s="85"/>
    </row>
    <row r="87" spans="2:5" x14ac:dyDescent="0.25">
      <c r="B87" s="90"/>
      <c r="C87" s="71" t="s">
        <v>105</v>
      </c>
      <c r="D87" s="70">
        <f t="shared" si="5"/>
        <v>0</v>
      </c>
      <c r="E87" s="85"/>
    </row>
    <row r="88" spans="2:5" ht="15.75" thickBot="1" x14ac:dyDescent="0.3">
      <c r="B88" s="91"/>
      <c r="C88" s="75"/>
      <c r="D88" s="76">
        <f t="shared" si="5"/>
        <v>0</v>
      </c>
      <c r="E88" s="92"/>
    </row>
    <row r="89" spans="2:5" ht="15.75" thickBot="1" x14ac:dyDescent="0.3">
      <c r="D89" s="69"/>
    </row>
    <row r="90" spans="2:5" x14ac:dyDescent="0.25">
      <c r="B90" s="89" t="str">
        <f>M59</f>
        <v>Imprevistos</v>
      </c>
      <c r="C90" s="73" t="s">
        <v>106</v>
      </c>
      <c r="D90" s="74">
        <f t="shared" ref="D90:D96" si="6">SUMIFS($F$11:$F$32,$D$11:$D$32,C90)</f>
        <v>0</v>
      </c>
      <c r="E90" s="84">
        <f>SUBTOTAL(9,D90:D96)</f>
        <v>0</v>
      </c>
    </row>
    <row r="91" spans="2:5" x14ac:dyDescent="0.25">
      <c r="B91" s="90"/>
      <c r="C91" s="71" t="s">
        <v>107</v>
      </c>
      <c r="D91" s="70">
        <f t="shared" si="6"/>
        <v>0</v>
      </c>
      <c r="E91" s="85"/>
    </row>
    <row r="92" spans="2:5" x14ac:dyDescent="0.25">
      <c r="B92" s="90"/>
      <c r="C92" s="71" t="s">
        <v>108</v>
      </c>
      <c r="D92" s="70">
        <f t="shared" si="6"/>
        <v>0</v>
      </c>
      <c r="E92" s="85"/>
    </row>
    <row r="93" spans="2:5" x14ac:dyDescent="0.25">
      <c r="B93" s="90"/>
      <c r="C93" s="71" t="s">
        <v>109</v>
      </c>
      <c r="D93" s="70">
        <f t="shared" si="6"/>
        <v>0</v>
      </c>
      <c r="E93" s="85"/>
    </row>
    <row r="94" spans="2:5" x14ac:dyDescent="0.25">
      <c r="B94" s="90"/>
      <c r="C94" s="71" t="s">
        <v>110</v>
      </c>
      <c r="D94" s="70">
        <f t="shared" si="6"/>
        <v>0</v>
      </c>
      <c r="E94" s="85"/>
    </row>
    <row r="95" spans="2:5" x14ac:dyDescent="0.25">
      <c r="B95" s="90"/>
      <c r="C95" s="71" t="s">
        <v>45</v>
      </c>
      <c r="D95" s="70">
        <f t="shared" si="6"/>
        <v>0</v>
      </c>
      <c r="E95" s="85"/>
    </row>
    <row r="96" spans="2:5" ht="15.75" thickBot="1" x14ac:dyDescent="0.3">
      <c r="B96" s="91"/>
      <c r="C96" s="75"/>
      <c r="D96" s="76">
        <f t="shared" si="6"/>
        <v>0</v>
      </c>
      <c r="E96" s="92"/>
    </row>
  </sheetData>
  <mergeCells count="20">
    <mergeCell ref="H2:K2"/>
    <mergeCell ref="B9:F9"/>
    <mergeCell ref="H9:K9"/>
    <mergeCell ref="B35:B39"/>
    <mergeCell ref="B90:B96"/>
    <mergeCell ref="E35:E39"/>
    <mergeCell ref="E50:E56"/>
    <mergeCell ref="E58:E64"/>
    <mergeCell ref="E66:E72"/>
    <mergeCell ref="E74:E80"/>
    <mergeCell ref="E82:E88"/>
    <mergeCell ref="E90:E96"/>
    <mergeCell ref="B41:B48"/>
    <mergeCell ref="B50:B56"/>
    <mergeCell ref="B58:B64"/>
    <mergeCell ref="E41:E47"/>
    <mergeCell ref="B34:E34"/>
    <mergeCell ref="B66:B72"/>
    <mergeCell ref="B74:B80"/>
    <mergeCell ref="B82:B88"/>
  </mergeCells>
  <dataValidations count="1">
    <dataValidation type="list" allowBlank="1" showInputMessage="1" showErrorMessage="1" sqref="I11:I22">
      <formula1>$R$3:$R$16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15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8</vt:i4>
      </vt:variant>
    </vt:vector>
  </HeadingPairs>
  <TitlesOfParts>
    <vt:vector size="24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Gráficos</vt:lpstr>
      <vt:lpstr>Modelo</vt:lpstr>
      <vt:lpstr>Grafico-geral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2025-11-10T20:55:12Z</dcterms:modified>
  <cp:category/>
  <cp:contentStatus/>
</cp:coreProperties>
</file>