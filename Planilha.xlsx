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 activeTab="12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3" l="1"/>
  <c r="D19" i="3"/>
  <c r="D18" i="3"/>
  <c r="D17" i="3"/>
  <c r="E18" i="3"/>
  <c r="E20" i="3"/>
  <c r="E19" i="3"/>
  <c r="E17" i="3"/>
  <c r="E16" i="3"/>
  <c r="F20" i="3"/>
  <c r="F19" i="3"/>
  <c r="F18" i="3"/>
  <c r="F17" i="3"/>
  <c r="F16" i="3"/>
  <c r="F15" i="3"/>
  <c r="F14" i="3"/>
  <c r="G20" i="3"/>
  <c r="G19" i="3"/>
  <c r="G18" i="3"/>
  <c r="G17" i="3"/>
  <c r="G16" i="3"/>
  <c r="G15" i="3"/>
  <c r="G14" i="3"/>
  <c r="H20" i="3"/>
  <c r="H19" i="3"/>
  <c r="H18" i="3"/>
  <c r="H17" i="3"/>
  <c r="H16" i="3"/>
  <c r="H15" i="3"/>
  <c r="H14" i="3"/>
  <c r="I20" i="3"/>
  <c r="I19" i="3"/>
  <c r="I18" i="3"/>
  <c r="I17" i="3"/>
  <c r="I16" i="3"/>
  <c r="I15" i="3"/>
  <c r="I14" i="3"/>
  <c r="J20" i="3"/>
  <c r="J19" i="3"/>
  <c r="J18" i="3"/>
  <c r="J17" i="3"/>
  <c r="J16" i="3"/>
  <c r="J15" i="3"/>
  <c r="J14" i="3"/>
  <c r="K20" i="3"/>
  <c r="K19" i="3"/>
  <c r="K18" i="3"/>
  <c r="K17" i="3"/>
  <c r="K16" i="3"/>
  <c r="K15" i="3"/>
  <c r="K14" i="3"/>
  <c r="L20" i="3"/>
  <c r="L19" i="3"/>
  <c r="L18" i="3"/>
  <c r="L17" i="3"/>
  <c r="L16" i="3"/>
  <c r="L15" i="3"/>
  <c r="L14" i="3"/>
  <c r="M20" i="3"/>
  <c r="M19" i="3"/>
  <c r="M18" i="3"/>
  <c r="M17" i="3"/>
  <c r="M16" i="3"/>
  <c r="M15" i="3"/>
  <c r="M14" i="3"/>
  <c r="E15" i="3"/>
  <c r="E14" i="3"/>
  <c r="B51" i="10" l="1"/>
  <c r="D16" i="3"/>
  <c r="D14" i="3"/>
  <c r="D15" i="3"/>
  <c r="C15" i="3"/>
  <c r="C20" i="3"/>
  <c r="C19" i="3"/>
  <c r="C18" i="3"/>
  <c r="C17" i="3"/>
  <c r="C16" i="3"/>
  <c r="C14" i="3"/>
  <c r="F3" i="1"/>
  <c r="M8" i="3"/>
  <c r="K8" i="3"/>
  <c r="J8" i="3"/>
  <c r="L8" i="3"/>
  <c r="I8" i="3"/>
  <c r="H8" i="3"/>
  <c r="G8" i="3"/>
  <c r="F8" i="3"/>
  <c r="E8" i="3"/>
  <c r="D8" i="3"/>
  <c r="C8" i="3"/>
  <c r="F5" i="10"/>
  <c r="F5" i="11"/>
  <c r="F5" i="12"/>
  <c r="F5" i="13"/>
  <c r="F5" i="14"/>
  <c r="F5" i="4"/>
  <c r="F5" i="5"/>
  <c r="F5" i="6"/>
  <c r="F5" i="7"/>
  <c r="F5" i="8"/>
  <c r="F5" i="1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4" i="11"/>
  <c r="D4" i="12"/>
  <c r="D4" i="13"/>
  <c r="D4" i="14"/>
  <c r="D4" i="4"/>
  <c r="D4" i="5"/>
  <c r="D4" i="6"/>
  <c r="D4" i="7"/>
  <c r="D4" i="8"/>
  <c r="D4" i="9"/>
  <c r="N8" i="3" s="1"/>
  <c r="O8" i="3" s="1"/>
  <c r="D4" i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9" l="1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86" i="10"/>
  <c r="D75" i="3" s="1"/>
  <c r="D85" i="10"/>
  <c r="D74" i="3" s="1"/>
  <c r="D84" i="10"/>
  <c r="D83" i="10"/>
  <c r="D82" i="10"/>
  <c r="D80" i="10"/>
  <c r="D69" i="3" s="1"/>
  <c r="D79" i="10"/>
  <c r="D68" i="3" s="1"/>
  <c r="D78" i="10"/>
  <c r="D77" i="10"/>
  <c r="D66" i="3" s="1"/>
  <c r="D76" i="10"/>
  <c r="D75" i="10"/>
  <c r="D64" i="3" s="1"/>
  <c r="D74" i="10"/>
  <c r="D72" i="10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63" i="10"/>
  <c r="D52" i="3" s="1"/>
  <c r="D62" i="10"/>
  <c r="D51" i="3" s="1"/>
  <c r="D61" i="10"/>
  <c r="D50" i="3" s="1"/>
  <c r="D60" i="10"/>
  <c r="D59" i="10"/>
  <c r="D48" i="3" s="1"/>
  <c r="D58" i="10"/>
  <c r="D56" i="10"/>
  <c r="D55" i="10"/>
  <c r="D54" i="10"/>
  <c r="D53" i="10"/>
  <c r="D52" i="10"/>
  <c r="D41" i="3" s="1"/>
  <c r="D51" i="10"/>
  <c r="D40" i="3" s="1"/>
  <c r="D50" i="10"/>
  <c r="D48" i="10"/>
  <c r="D37" i="3" s="1"/>
  <c r="D47" i="10"/>
  <c r="D36" i="3" s="1"/>
  <c r="D46" i="10"/>
  <c r="D45" i="10"/>
  <c r="D44" i="10"/>
  <c r="D43" i="10"/>
  <c r="D32" i="3" s="1"/>
  <c r="D42" i="10"/>
  <c r="D31" i="3" s="1"/>
  <c r="D41" i="10"/>
  <c r="D39" i="10"/>
  <c r="D38" i="10"/>
  <c r="D27" i="3" s="1"/>
  <c r="D37" i="10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49" i="3" l="1"/>
  <c r="D67" i="3"/>
  <c r="D35" i="3"/>
  <c r="D53" i="3"/>
  <c r="D76" i="3"/>
  <c r="D45" i="3"/>
  <c r="D61" i="3"/>
  <c r="D33" i="3"/>
  <c r="D28" i="3"/>
  <c r="D42" i="3"/>
  <c r="D34" i="3"/>
  <c r="D43" i="3"/>
  <c r="D26" i="3"/>
  <c r="D72" i="3"/>
  <c r="D65" i="3"/>
  <c r="B75" i="5"/>
  <c r="B36" i="6"/>
  <c r="B59" i="2"/>
  <c r="B51" i="2"/>
  <c r="B67" i="2"/>
  <c r="B36" i="2"/>
  <c r="B75" i="2"/>
  <c r="B75" i="10"/>
  <c r="B75" i="9"/>
  <c r="N19" i="3" s="1"/>
  <c r="O19" i="3" s="1"/>
  <c r="B75" i="8"/>
  <c r="B75" i="7"/>
  <c r="B75" i="4"/>
  <c r="B75" i="14"/>
  <c r="B75" i="13"/>
  <c r="B75" i="12"/>
  <c r="D44" i="3"/>
  <c r="B75" i="11"/>
  <c r="B75" i="1"/>
  <c r="B67" i="1"/>
  <c r="B67" i="10"/>
  <c r="B67" i="9"/>
  <c r="N18" i="3" s="1"/>
  <c r="O18" i="3" s="1"/>
  <c r="B67" i="8"/>
  <c r="B67" i="7"/>
  <c r="B67" i="6"/>
  <c r="B67" i="5"/>
  <c r="B67" i="4"/>
  <c r="B67" i="14"/>
  <c r="B67" i="13"/>
  <c r="B67" i="12"/>
  <c r="B67" i="11"/>
  <c r="B59" i="1"/>
  <c r="B59" i="10"/>
  <c r="B59" i="9"/>
  <c r="N17" i="3" s="1"/>
  <c r="O17" i="3" s="1"/>
  <c r="B59" i="8"/>
  <c r="B59" i="7"/>
  <c r="B59" i="4"/>
  <c r="B59" i="14"/>
  <c r="B59" i="13"/>
  <c r="B59" i="12"/>
  <c r="B59" i="11"/>
  <c r="B51" i="9"/>
  <c r="N16" i="3" s="1"/>
  <c r="O16" i="3" s="1"/>
  <c r="B51" i="8"/>
  <c r="B51" i="7"/>
  <c r="B51" i="6"/>
  <c r="B51" i="5"/>
  <c r="B59" i="5"/>
  <c r="B42" i="4"/>
  <c r="B51" i="14"/>
  <c r="B51" i="13"/>
  <c r="B51" i="12"/>
  <c r="B42" i="11"/>
  <c r="B51" i="11"/>
  <c r="D63" i="3"/>
  <c r="B75" i="6"/>
  <c r="B51" i="4"/>
  <c r="D47" i="3"/>
  <c r="B48" i="3" s="1"/>
  <c r="B51" i="1"/>
  <c r="B36" i="1"/>
  <c r="B36" i="10"/>
  <c r="B36" i="9"/>
  <c r="N14" i="3" s="1"/>
  <c r="O14" i="3" s="1"/>
  <c r="B36" i="8"/>
  <c r="B36" i="7"/>
  <c r="B59" i="6"/>
  <c r="B36" i="5"/>
  <c r="B36" i="4"/>
  <c r="B36" i="14"/>
  <c r="B36" i="13"/>
  <c r="B36" i="12"/>
  <c r="B36" i="11"/>
  <c r="B42" i="1"/>
  <c r="B42" i="5"/>
  <c r="B42" i="10"/>
  <c r="B42" i="7"/>
  <c r="B42" i="13"/>
  <c r="B42" i="12"/>
  <c r="B42" i="8"/>
  <c r="B42" i="9"/>
  <c r="N15" i="3" s="1"/>
  <c r="O15" i="3" s="1"/>
  <c r="B42" i="14"/>
  <c r="D30" i="3"/>
  <c r="B42" i="6"/>
  <c r="D39" i="3"/>
  <c r="D55" i="3"/>
  <c r="B83" i="10"/>
  <c r="B83" i="9"/>
  <c r="N20" i="3" s="1"/>
  <c r="O20" i="3" s="1"/>
  <c r="B83" i="8"/>
  <c r="B83" i="7"/>
  <c r="B83" i="5"/>
  <c r="B83" i="1"/>
  <c r="B83" i="6"/>
  <c r="B83" i="4"/>
  <c r="B83" i="14"/>
  <c r="B83" i="13"/>
  <c r="B83" i="12"/>
  <c r="B83" i="1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3" s="1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O5" i="3" s="1"/>
  <c r="I4" i="9"/>
  <c r="N4" i="3"/>
  <c r="O4" i="3" s="1"/>
  <c r="F6" i="8"/>
  <c r="M5" i="3" s="1"/>
  <c r="I4" i="8"/>
  <c r="M4" i="3"/>
  <c r="F6" i="7"/>
  <c r="L5" i="3" s="1"/>
  <c r="I4" i="7"/>
  <c r="L4" i="3"/>
  <c r="L6" i="3" s="1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B56" i="3" l="1"/>
  <c r="B25" i="3"/>
  <c r="B31" i="3"/>
  <c r="N6" i="3"/>
  <c r="B64" i="3"/>
  <c r="E6" i="3"/>
  <c r="B40" i="3"/>
  <c r="D6" i="3"/>
  <c r="G6" i="3"/>
  <c r="M6" i="3"/>
  <c r="B72" i="3"/>
  <c r="K6" i="3"/>
  <c r="J6" i="3"/>
  <c r="F6" i="1"/>
  <c r="C5" i="3" s="1"/>
  <c r="C4" i="3"/>
  <c r="C3" i="3"/>
  <c r="I4" i="1"/>
  <c r="O6" i="3" l="1"/>
  <c r="C6" i="3"/>
  <c r="C7" i="3" s="1"/>
  <c r="F7" i="1"/>
  <c r="D7" i="10" s="1"/>
  <c r="F3" i="10" s="1"/>
  <c r="F7" i="10" l="1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l="1"/>
  <c r="O7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charset val="1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<sst xmlns="http://schemas.openxmlformats.org/spreadsheetml/2006/main" count="1322" uniqueCount="162">
  <si>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</si>
  <si>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</si>
  <si>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</si>
  <si>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</si>
  <si>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</si>
  <si>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</si>
  <si>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</si>
  <si>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</si>
  <si>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</si>
  <si>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</si>
  <si>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</si>
  <si>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</si>
  <si>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</si>
  <si>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</si>
  <si>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</si>
  <si>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</si>
  <si>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</si>
  <si>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</si>
  <si>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</si>
  <si>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</si>
  <si>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</si>
  <si>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</si>
  <si>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</si>
  <si>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</si>
  <si>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</si>
  <si>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</si>
  <si>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</si>
  <si>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</si>
  <si>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</si>
  <si>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</si>
  <si>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</si>
  <si>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</si>
  <si>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</si>
  <si>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</si>
  <si>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plano internet claro</t>
  </si>
  <si>
    <t>Alimentação</t>
  </si>
  <si>
    <t>Lanches / Snacks</t>
  </si>
  <si>
    <t>Churrasco dia dos pais</t>
  </si>
  <si>
    <t>Parcla de cell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</si>
  <si>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</si>
  <si>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</si>
  <si>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</si>
  <si>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</si>
  <si>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</si>
  <si>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</si>
  <si>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</si>
  <si>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</si>
  <si>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</si>
  <si>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</si>
  <si>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</si>
  <si>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cell, camera</t>
  </si>
  <si>
    <t>Compras online aleatórias</t>
  </si>
  <si>
    <t>cartão de memória e adaptador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</si>
  <si>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</si>
  <si>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</si>
  <si>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</si>
  <si>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</si>
  <si>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</si>
  <si>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</si>
  <si>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</si>
  <si>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</si>
  <si>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</si>
  <si>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</si>
  <si>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</si>
  <si>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</si>
  <si>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</si>
  <si>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</si>
  <si>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</si>
  <si>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</si>
  <si>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</si>
  <si>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</si>
  <si>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</si>
  <si>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</si>
  <si>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</si>
  <si>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</si>
  <si>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</si>
  <si>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</si>
  <si>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</si>
  <si>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</si>
  <si>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</si>
  <si>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</si>
  <si>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</si>
  <si>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</si>
  <si>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</si>
  <si>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</si>
  <si>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</si>
  <si>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</si>
  <si>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</si>
  <si>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</si>
  <si>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</si>
  <si>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</si>
  <si>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</si>
  <si>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</si>
  <si>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</si>
  <si>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</si>
  <si>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</si>
  <si>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</si>
  <si>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</si>
  <si>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</si>
  <si>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</si>
  <si>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</si>
  <si>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</si>
  <si>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</si>
  <si>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</si>
  <si>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</si>
  <si>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</si>
  <si>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</si>
  <si>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</si>
  <si>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</si>
  <si>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</si>
  <si>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</si>
  <si>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</si>
  <si>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</si>
  <si>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</si>
  <si>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</si>
  <si>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</si>
  <si>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</si>
  <si>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</si>
  <si>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</si>
  <si>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</si>
  <si>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</si>
  <si>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</si>
  <si>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</si>
  <si>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</si>
  <si>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</si>
  <si>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</si>
  <si>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</si>
  <si>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</si>
  <si>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</si>
  <si>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</si>
  <si>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</si>
  <si>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</si>
  <si>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</si>
  <si>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</si>
  <si>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claro</t>
  </si>
  <si>
    <t>ultima do cell</t>
  </si>
  <si>
    <t>sitio carnaval</t>
  </si>
  <si>
    <t>total</t>
  </si>
  <si>
    <t>moto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</si>
  <si>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</si>
  <si>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</si>
  <si>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</si>
  <si>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</si>
  <si>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</si>
  <si>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</si>
  <si>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</si>
  <si>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Xadrez Dance</t>
  </si>
  <si>
    <t>Fotos vendidas individualmente</t>
  </si>
  <si>
    <t>ceia de fim de ano</t>
  </si>
  <si>
    <t>barbeiro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</si>
  <si>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</si>
  <si>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</si>
  <si>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</si>
  <si>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</si>
  <si>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</si>
  <si>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</si>
  <si>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</si>
  <si>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</si>
  <si>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Solei no Cristo</t>
  </si>
  <si>
    <t>Abordagem e venda -Uber de 16,9</t>
  </si>
  <si>
    <t>Solei no Cristo e ainda mais na arvore de natal</t>
  </si>
  <si>
    <t>anaconda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</si>
</sst>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13.6</c:v>
                </c:pt>
                <c:pt idx="2">
                  <c:v>0</c:v>
                </c:pt>
                <c:pt idx="3">
                  <c:v>0</c:v>
                </c:pt>
                <c:pt idx="4">
                  <c:v>60</c:v>
                </c:pt>
                <c:pt idx="5">
                  <c:v>0</c:v>
                </c:pt>
                <c:pt idx="6">
                  <c:v>0</c:v>
                </c:pt>
                <c:pt idx="7">
                  <c:v>624.5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654</c:v>
                </c:pt>
                <c:pt idx="7">
                  <c:v>785.52</c:v>
                </c:pt>
                <c:pt idx="8">
                  <c:v>797.89</c:v>
                </c:pt>
                <c:pt idx="9">
                  <c:v>336.7</c:v>
                </c:pt>
                <c:pt idx="10">
                  <c:v>272.89999999999998</c:v>
                </c:pt>
                <c:pt idx="11">
                  <c:v>1301.8400000000001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647.15</c:v>
                </c:pt>
                <c:pt idx="8">
                  <c:v>461.19</c:v>
                </c:pt>
                <c:pt idx="9">
                  <c:v>63.8</c:v>
                </c:pt>
                <c:pt idx="10">
                  <c:v>322.89999999999998</c:v>
                </c:pt>
                <c:pt idx="11">
                  <c:v>801.88000000000011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126</c:v>
                </c:pt>
                <c:pt idx="7">
                  <c:v>138.37</c:v>
                </c:pt>
                <c:pt idx="8">
                  <c:v>336.7</c:v>
                </c:pt>
                <c:pt idx="9">
                  <c:v>272.89999999999998</c:v>
                </c:pt>
                <c:pt idx="10">
                  <c:v>-50</c:v>
                </c:pt>
                <c:pt idx="11">
                  <c:v>499.96000000000004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71758336"/>
        <c:axId val="271756160"/>
      </c:barChart>
      <c:catAx>
        <c:axId val="27175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1756160"/>
        <c:crosses val="autoZero"/>
        <c:auto val="1"/>
        <c:lblAlgn val="ctr"/>
        <c:lblOffset val="100"/>
        <c:noMultiLvlLbl val="0"/>
      </c:catAx>
      <c:valAx>
        <c:axId val="27175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175833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C36" sqref="C36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/>
      <c r="C7" s="9"/>
      <c r="D7" s="28"/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B52" sqref="B5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>
        <v>654</v>
      </c>
      <c r="F3" s="38">
        <f>SUM(D3,D5,D6,D7,D4)</f>
        <v>654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528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0</v>
      </c>
      <c r="F7" s="39">
        <f>F3-F4-F6</f>
        <v>126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>
        <v>57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>
        <v>460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>
        <v>11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57</v>
      </c>
      <c r="C42" s="68" t="s">
        <v>22</v>
      </c>
      <c r="D42" s="69">
        <f t="shared" si="0"/>
        <v>57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11</v>
      </c>
    </row>
    <row r="51" spans="2:4" ht="15.75" thickBot="1" x14ac:dyDescent="0.3">
      <c r="B51" s="73">
        <f>SUM(D50:D56)</f>
        <v>11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460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460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785.52</v>
      </c>
      <c r="I3" s="11" t="s">
        <v>5</v>
      </c>
    </row>
    <row r="4" spans="2:16" ht="15.75" thickBot="1" x14ac:dyDescent="0.3">
      <c r="B4" s="6" t="s">
        <v>128</v>
      </c>
      <c r="C4" s="7" t="s">
        <v>31</v>
      </c>
      <c r="D4" s="26">
        <f>SUM(P10:P25)</f>
        <v>0</v>
      </c>
      <c r="F4" s="37">
        <f>SUM(F11:F32)</f>
        <v>427.15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220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126</v>
      </c>
      <c r="F7" s="39">
        <f>F3-F4-F6</f>
        <v>138.37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>
        <v>5</v>
      </c>
      <c r="H11" s="18">
        <v>45876</v>
      </c>
      <c r="I11" s="13"/>
      <c r="J11" s="13" t="s">
        <v>34</v>
      </c>
      <c r="K11" s="60">
        <v>60</v>
      </c>
      <c r="M11" s="77"/>
      <c r="N11" s="96"/>
      <c r="O11" s="87"/>
      <c r="P11" s="61"/>
    </row>
    <row r="12" spans="2:16" x14ac:dyDescent="0.25">
      <c r="B12" s="22">
        <v>45879</v>
      </c>
      <c r="C12" s="7" t="s">
        <v>35</v>
      </c>
      <c r="D12" s="7" t="s">
        <v>36</v>
      </c>
      <c r="E12" s="7" t="s">
        <v>37</v>
      </c>
      <c r="F12" s="34">
        <v>27</v>
      </c>
      <c r="H12" s="19">
        <v>45876</v>
      </c>
      <c r="I12" s="13"/>
      <c r="J12" s="1" t="s">
        <v>38</v>
      </c>
      <c r="K12" s="61">
        <v>130</v>
      </c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>
        <v>5</v>
      </c>
      <c r="H13" s="19">
        <v>45899</v>
      </c>
      <c r="I13" s="13"/>
      <c r="J13" s="1" t="s">
        <v>39</v>
      </c>
      <c r="K13" s="61">
        <v>30</v>
      </c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40</v>
      </c>
      <c r="E14" s="7" t="s">
        <v>41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>
        <v>5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>
        <v>7</v>
      </c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42</v>
      </c>
      <c r="F17" s="34">
        <v>5.31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>
        <v>6.7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43</v>
      </c>
      <c r="E19" s="7" t="s">
        <v>44</v>
      </c>
      <c r="F19" s="34">
        <v>6.14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45</v>
      </c>
      <c r="D20" s="7" t="s">
        <v>46</v>
      </c>
      <c r="E20" s="7" t="s">
        <v>47</v>
      </c>
      <c r="F20" s="34">
        <v>270</v>
      </c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>
        <v>7.5</v>
      </c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>
        <v>7.5</v>
      </c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27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27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81.14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75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6.14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49.01</v>
      </c>
      <c r="C59" s="68" t="s">
        <v>32</v>
      </c>
      <c r="D59" s="69">
        <f t="shared" si="0"/>
        <v>49.01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270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270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48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797.89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177.39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283.8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138.37</v>
      </c>
      <c r="F7" s="39">
        <f>F3-F4-F6</f>
        <v>336.7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49</v>
      </c>
      <c r="F11" s="33">
        <v>5.5</v>
      </c>
      <c r="H11" s="18">
        <v>45901</v>
      </c>
      <c r="I11" s="13" t="s">
        <v>118</v>
      </c>
      <c r="J11" s="13" t="s">
        <v>50</v>
      </c>
      <c r="K11" s="60">
        <v>277</v>
      </c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51</v>
      </c>
      <c r="E12" s="7" t="s">
        <v>52</v>
      </c>
      <c r="F12" s="34">
        <v>85.29</v>
      </c>
      <c r="H12" s="19">
        <v>45906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>
        <v>45903</v>
      </c>
      <c r="C13" s="7" t="s">
        <v>35</v>
      </c>
      <c r="D13" s="7" t="s">
        <v>36</v>
      </c>
      <c r="E13" s="7" t="s">
        <v>54</v>
      </c>
      <c r="F13" s="34">
        <v>1.6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55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43</v>
      </c>
      <c r="E15" s="7" t="s">
        <v>56</v>
      </c>
      <c r="F15" s="34">
        <v>10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1.6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1.6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10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277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10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75</v>
      </c>
    </row>
    <row r="51" spans="2:4" ht="15.75" thickBot="1" x14ac:dyDescent="0.3">
      <c r="B51" s="73">
        <f>SUM(D50:D56)</f>
        <v>160.29000000000002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85.29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5.5</v>
      </c>
      <c r="C59" s="68" t="s">
        <v>32</v>
      </c>
      <c r="D59" s="69">
        <f t="shared" si="0"/>
        <v>5.5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57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336.7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63.8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336.7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58</v>
      </c>
      <c r="E11" s="16" t="s">
        <v>59</v>
      </c>
      <c r="F11" s="33">
        <v>63.8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63.8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63.8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13" sqref="F13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60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272.89999999999998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322.89999999999998</v>
      </c>
      <c r="I4" s="15">
        <f ca="1">TODAY()</f>
        <v>46020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272.89999999999998</v>
      </c>
      <c r="F7" s="39">
        <f>F3-F4-F6</f>
        <v>-50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>
        <v>272.89999999999998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>
        <v>50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H6" sqref="H6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10.7109375" style="127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61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  <c r="N2"/>
    </row>
    <row r="3" spans="2:16" ht="15.75" thickBot="1" x14ac:dyDescent="0.3">
      <c r="B3" s="10" t="s">
        <v>4</v>
      </c>
      <c r="C3" s="29"/>
      <c r="D3" s="30">
        <v>652.59</v>
      </c>
      <c r="F3" s="38">
        <f>SUM(D3,D5,D6,D7,D4)</f>
        <v>1301.8400000000001</v>
      </c>
      <c r="I3" s="11" t="s">
        <v>5</v>
      </c>
      <c r="N3"/>
    </row>
    <row r="4" spans="2:16" ht="15.75" thickBot="1" x14ac:dyDescent="0.3">
      <c r="B4" s="6" t="s">
        <v>128</v>
      </c>
      <c r="C4" s="7"/>
      <c r="D4" s="26">
        <f>SUM(P10:P25)</f>
        <v>515.25</v>
      </c>
      <c r="F4" s="37">
        <f>SUM(F11:F32)</f>
        <v>327.58000000000004</v>
      </c>
      <c r="I4" s="15">
        <f ca="1">TODAY()</f>
        <v>46020</v>
      </c>
      <c r="N4"/>
    </row>
    <row r="5" spans="2:16" ht="15.75" thickBot="1" x14ac:dyDescent="0.3">
      <c r="B5" s="24" t="s">
        <v>6</v>
      </c>
      <c r="C5" s="25"/>
      <c r="D5" s="27">
        <v>104</v>
      </c>
      <c r="F5" s="98">
        <f>D4</f>
        <v>515.25</v>
      </c>
      <c r="I5" s="17" t="s">
        <v>7</v>
      </c>
      <c r="N5"/>
    </row>
    <row r="6" spans="2:16" ht="15.75" thickBot="1" x14ac:dyDescent="0.3">
      <c r="B6" s="24" t="s">
        <v>132</v>
      </c>
      <c r="C6" s="25"/>
      <c r="D6" s="27">
        <v>80</v>
      </c>
      <c r="F6" s="36">
        <f>SUM(K11:K22)</f>
        <v>474.3</v>
      </c>
      <c r="I6" s="14">
        <v>46002</v>
      </c>
      <c r="N6"/>
    </row>
    <row r="7" spans="2:16" ht="15.75" thickBot="1" x14ac:dyDescent="0.3">
      <c r="B7" s="8" t="s">
        <v>15</v>
      </c>
      <c r="C7" s="9"/>
      <c r="D7" s="28">
        <f>Nov!F7</f>
        <v>-50</v>
      </c>
      <c r="F7" s="39">
        <f>F3-F4-F6</f>
        <v>499.96000000000009</v>
      </c>
      <c r="N7"/>
    </row>
    <row r="8" spans="2:16" ht="15.75" thickBot="1" x14ac:dyDescent="0.3">
      <c r="N8"/>
    </row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 t="s">
        <v>146</v>
      </c>
      <c r="N10" s="124">
        <v>46005</v>
      </c>
      <c r="O10" s="90" t="s">
        <v>147</v>
      </c>
      <c r="P10" s="60">
        <v>160.25</v>
      </c>
    </row>
    <row r="11" spans="2:16" x14ac:dyDescent="0.25">
      <c r="B11" s="21">
        <v>46001</v>
      </c>
      <c r="C11" s="16" t="s">
        <v>35</v>
      </c>
      <c r="D11" s="16" t="s">
        <v>120</v>
      </c>
      <c r="E11" s="16" t="s">
        <v>139</v>
      </c>
      <c r="F11" s="33">
        <v>14.98</v>
      </c>
      <c r="H11" s="18">
        <v>1</v>
      </c>
      <c r="I11" s="13" t="s">
        <v>111</v>
      </c>
      <c r="J11" s="13" t="s">
        <v>134</v>
      </c>
      <c r="K11" s="60">
        <v>30</v>
      </c>
      <c r="M11" s="77" t="s">
        <v>158</v>
      </c>
      <c r="N11" s="125">
        <v>46012</v>
      </c>
      <c r="O11" s="87" t="s">
        <v>159</v>
      </c>
      <c r="P11" s="61">
        <v>100</v>
      </c>
    </row>
    <row r="12" spans="2:16" x14ac:dyDescent="0.25">
      <c r="B12" s="22">
        <v>46002</v>
      </c>
      <c r="C12" s="7" t="s">
        <v>27</v>
      </c>
      <c r="D12" s="7" t="s">
        <v>90</v>
      </c>
      <c r="E12" s="7" t="s">
        <v>140</v>
      </c>
      <c r="F12" s="34">
        <v>22.5</v>
      </c>
      <c r="H12" s="19">
        <v>45966</v>
      </c>
      <c r="I12" s="13" t="s">
        <v>112</v>
      </c>
      <c r="J12" s="1" t="s">
        <v>53</v>
      </c>
      <c r="K12" s="61">
        <v>6.8</v>
      </c>
      <c r="M12" s="77" t="s">
        <v>160</v>
      </c>
      <c r="N12" s="125">
        <v>46011</v>
      </c>
      <c r="O12" s="87" t="s">
        <v>147</v>
      </c>
      <c r="P12" s="61">
        <v>255</v>
      </c>
    </row>
    <row r="13" spans="2:16" x14ac:dyDescent="0.25">
      <c r="B13" s="22">
        <v>46002</v>
      </c>
      <c r="C13" s="7" t="s">
        <v>27</v>
      </c>
      <c r="D13" s="7" t="s">
        <v>51</v>
      </c>
      <c r="E13" s="7" t="s">
        <v>141</v>
      </c>
      <c r="F13" s="34">
        <v>114.98</v>
      </c>
      <c r="H13" s="19">
        <v>45996</v>
      </c>
      <c r="I13" s="13" t="s">
        <v>118</v>
      </c>
      <c r="J13" s="1" t="s">
        <v>135</v>
      </c>
      <c r="K13" s="61">
        <v>130</v>
      </c>
      <c r="M13" s="77"/>
      <c r="N13" s="125"/>
      <c r="O13" s="87"/>
      <c r="P13" s="61"/>
    </row>
    <row r="14" spans="2:16" x14ac:dyDescent="0.25">
      <c r="B14" s="22">
        <v>46004</v>
      </c>
      <c r="C14" s="7" t="s">
        <v>144</v>
      </c>
      <c r="D14" s="7" t="s">
        <v>43</v>
      </c>
      <c r="E14" s="7" t="s">
        <v>145</v>
      </c>
      <c r="F14" s="34">
        <v>17.399999999999999</v>
      </c>
      <c r="H14" s="19">
        <v>45998</v>
      </c>
      <c r="I14" s="13" t="s">
        <v>118</v>
      </c>
      <c r="J14" s="1" t="s">
        <v>59</v>
      </c>
      <c r="K14" s="61">
        <v>147.5</v>
      </c>
      <c r="M14" s="77"/>
      <c r="N14" s="125"/>
      <c r="O14" s="87"/>
      <c r="P14" s="61"/>
    </row>
    <row r="15" spans="2:16" x14ac:dyDescent="0.25">
      <c r="B15" s="22">
        <v>46010</v>
      </c>
      <c r="C15" s="7" t="s">
        <v>21</v>
      </c>
      <c r="D15" s="7" t="s">
        <v>43</v>
      </c>
      <c r="E15" s="7" t="s">
        <v>148</v>
      </c>
      <c r="F15" s="34">
        <v>20</v>
      </c>
      <c r="H15" s="19">
        <v>45999</v>
      </c>
      <c r="I15" s="13" t="s">
        <v>118</v>
      </c>
      <c r="J15" s="1" t="s">
        <v>136</v>
      </c>
      <c r="K15" s="61">
        <v>70</v>
      </c>
      <c r="M15" s="77"/>
      <c r="N15" s="125"/>
      <c r="O15" s="87"/>
      <c r="P15" s="61"/>
    </row>
    <row r="16" spans="2:16" x14ac:dyDescent="0.25">
      <c r="B16" s="22">
        <v>46011</v>
      </c>
      <c r="C16" s="7" t="s">
        <v>27</v>
      </c>
      <c r="D16" s="7" t="s">
        <v>157</v>
      </c>
      <c r="E16" s="7" t="s">
        <v>150</v>
      </c>
      <c r="F16" s="34">
        <v>19.899999999999999</v>
      </c>
      <c r="H16" s="19">
        <v>46000</v>
      </c>
      <c r="I16" s="13" t="s">
        <v>115</v>
      </c>
      <c r="J16" s="1" t="s">
        <v>138</v>
      </c>
      <c r="K16" s="61">
        <v>30</v>
      </c>
      <c r="M16" s="77"/>
      <c r="N16" s="125"/>
      <c r="O16" s="87"/>
      <c r="P16" s="61"/>
    </row>
    <row r="17" spans="2:16" x14ac:dyDescent="0.25">
      <c r="B17" s="22">
        <v>46012</v>
      </c>
      <c r="C17" s="7" t="s">
        <v>35</v>
      </c>
      <c r="D17" s="7" t="s">
        <v>80</v>
      </c>
      <c r="E17" s="7" t="s">
        <v>151</v>
      </c>
      <c r="F17" s="34">
        <v>25.57</v>
      </c>
      <c r="H17" s="19">
        <v>46009</v>
      </c>
      <c r="I17" s="13" t="s">
        <v>115</v>
      </c>
      <c r="J17" s="1" t="s">
        <v>138</v>
      </c>
      <c r="K17" s="61">
        <v>30</v>
      </c>
      <c r="M17" s="77"/>
      <c r="N17" s="125"/>
      <c r="O17" s="87"/>
      <c r="P17" s="61"/>
    </row>
    <row r="18" spans="2:16" x14ac:dyDescent="0.25">
      <c r="B18" s="22">
        <v>46011</v>
      </c>
      <c r="C18" s="7" t="s">
        <v>142</v>
      </c>
      <c r="D18" s="7" t="s">
        <v>120</v>
      </c>
      <c r="E18" s="7" t="s">
        <v>143</v>
      </c>
      <c r="F18" s="34">
        <v>2.25</v>
      </c>
      <c r="H18" s="19">
        <v>46010</v>
      </c>
      <c r="I18" s="13" t="s">
        <v>149</v>
      </c>
      <c r="J18" s="1" t="s">
        <v>149</v>
      </c>
      <c r="K18" s="61">
        <v>30</v>
      </c>
      <c r="M18" s="77"/>
      <c r="N18" s="125"/>
      <c r="O18" s="87"/>
      <c r="P18" s="61"/>
    </row>
    <row r="19" spans="2:16" x14ac:dyDescent="0.25">
      <c r="B19" s="22">
        <v>46017</v>
      </c>
      <c r="C19" s="7" t="s">
        <v>144</v>
      </c>
      <c r="D19" s="7" t="s">
        <v>22</v>
      </c>
      <c r="E19" s="7" t="s">
        <v>161</v>
      </c>
      <c r="F19" s="34">
        <v>26</v>
      </c>
      <c r="H19" s="19"/>
      <c r="I19" s="13"/>
      <c r="J19" s="1"/>
      <c r="K19" s="61"/>
      <c r="M19" s="77"/>
      <c r="N19" s="125"/>
      <c r="O19" s="87"/>
      <c r="P19" s="61"/>
    </row>
    <row r="20" spans="2:16" x14ac:dyDescent="0.25">
      <c r="B20" s="22">
        <v>46015</v>
      </c>
      <c r="C20" s="7" t="s">
        <v>144</v>
      </c>
      <c r="D20" s="7" t="s">
        <v>43</v>
      </c>
      <c r="E20" s="7" t="s">
        <v>148</v>
      </c>
      <c r="F20" s="34">
        <v>64</v>
      </c>
      <c r="H20" s="19"/>
      <c r="I20" s="13"/>
      <c r="J20" s="1"/>
      <c r="K20" s="61"/>
      <c r="M20" s="77"/>
      <c r="N20" s="125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125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125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125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125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126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17.23</v>
      </c>
      <c r="H35" s="78" t="s">
        <v>111</v>
      </c>
      <c r="I35" s="67">
        <f>SUMIF($I$11:$I$22,H35,$K$11:$K$22)</f>
        <v>30</v>
      </c>
    </row>
    <row r="36" spans="2:9" ht="15.75" thickBot="1" x14ac:dyDescent="0.3">
      <c r="B36" s="73">
        <f>SUM(D35:D39)</f>
        <v>42.8</v>
      </c>
      <c r="C36" s="68" t="s">
        <v>80</v>
      </c>
      <c r="D36" s="69">
        <f t="shared" ref="D36:D88" si="0">SUMIF($D$11:$D$32,C36,$F$11:$F$32)</f>
        <v>25.57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60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127.4</v>
      </c>
      <c r="C42" s="68" t="s">
        <v>22</v>
      </c>
      <c r="D42" s="69">
        <f t="shared" si="0"/>
        <v>26</v>
      </c>
      <c r="H42" s="79" t="s">
        <v>118</v>
      </c>
      <c r="I42" s="69">
        <f t="shared" si="1"/>
        <v>347.5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101.4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137.48000000000002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114.98</v>
      </c>
    </row>
    <row r="54" spans="2:4" x14ac:dyDescent="0.25">
      <c r="C54" s="68" t="s">
        <v>90</v>
      </c>
      <c r="D54" s="69">
        <f t="shared" si="0"/>
        <v>22.5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tabSelected="1" zoomScale="85" zoomScaleNormal="85" workbookViewId="0">
      <selection activeCell="M19" sqref="M19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2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62</v>
      </c>
      <c r="C2" s="49" t="s">
        <v>63</v>
      </c>
      <c r="D2" s="50" t="s">
        <v>14</v>
      </c>
      <c r="E2" s="50" t="s">
        <v>64</v>
      </c>
      <c r="F2" s="50" t="s">
        <v>65</v>
      </c>
      <c r="G2" s="50" t="s">
        <v>66</v>
      </c>
      <c r="H2" s="50" t="s">
        <v>67</v>
      </c>
      <c r="I2" s="50" t="s">
        <v>68</v>
      </c>
      <c r="J2" s="50" t="s">
        <v>69</v>
      </c>
      <c r="K2" s="50" t="s">
        <v>70</v>
      </c>
      <c r="L2" s="50" t="s">
        <v>71</v>
      </c>
      <c r="M2" s="50" t="s">
        <v>72</v>
      </c>
      <c r="N2" s="51" t="s">
        <v>73</v>
      </c>
      <c r="O2" s="51" t="s">
        <v>137</v>
      </c>
    </row>
    <row r="3" spans="2:15" x14ac:dyDescent="0.25">
      <c r="B3" s="46" t="s">
        <v>74</v>
      </c>
      <c r="C3" s="42">
        <f>Jan!$F$3</f>
        <v>0</v>
      </c>
      <c r="D3" s="41">
        <f>Fev!$F$3</f>
        <v>0</v>
      </c>
      <c r="E3" s="41">
        <f>Mar!$F$3</f>
        <v>0</v>
      </c>
      <c r="F3" s="41">
        <f>Abr!$F$3</f>
        <v>0</v>
      </c>
      <c r="G3" s="41">
        <f>Mai!$F$3</f>
        <v>0</v>
      </c>
      <c r="H3" s="41">
        <f>Jun!$F$3</f>
        <v>0</v>
      </c>
      <c r="I3" s="41">
        <f>Jul!$F$3</f>
        <v>654</v>
      </c>
      <c r="J3" s="41">
        <f>Ago!$F$3</f>
        <v>785.52</v>
      </c>
      <c r="K3" s="41">
        <f>Set!$F$3</f>
        <v>797.89</v>
      </c>
      <c r="L3" s="41">
        <f>Out!$F$3</f>
        <v>336.7</v>
      </c>
      <c r="M3" s="41">
        <f>Nov!$F$3</f>
        <v>272.89999999999998</v>
      </c>
      <c r="N3" s="103">
        <f>Dez!$F$3</f>
        <v>1301.8400000000001</v>
      </c>
      <c r="O3" s="103">
        <f>SUM(C3:N3)</f>
        <v>4148.8500000000004</v>
      </c>
    </row>
    <row r="4" spans="2:15" x14ac:dyDescent="0.25">
      <c r="B4" s="47" t="s">
        <v>75</v>
      </c>
      <c r="C4" s="43">
        <f>Jan!$F$4</f>
        <v>0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528</v>
      </c>
      <c r="J4" s="43">
        <f>Ago!$F$4</f>
        <v>427.15</v>
      </c>
      <c r="K4" s="43">
        <f>Set!$F$4</f>
        <v>177.39</v>
      </c>
      <c r="L4" s="43">
        <f>Out!$F$4</f>
        <v>63.8</v>
      </c>
      <c r="M4" s="43">
        <f>Nov!$F$4</f>
        <v>322.89999999999998</v>
      </c>
      <c r="N4" s="104">
        <f>Dez!$F$4</f>
        <v>327.58000000000004</v>
      </c>
      <c r="O4" s="104">
        <f t="shared" ref="O4:O8" si="0">SUM(C4:N4)</f>
        <v>1846.8199999999997</v>
      </c>
    </row>
    <row r="5" spans="2:15" x14ac:dyDescent="0.25">
      <c r="B5" s="47" t="s">
        <v>76</v>
      </c>
      <c r="C5" s="44">
        <f>Jan!$F$6</f>
        <v>0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220</v>
      </c>
      <c r="K5" s="44">
        <f>Set!$F$6</f>
        <v>283.8</v>
      </c>
      <c r="L5" s="44">
        <f>Out!$F$6</f>
        <v>0</v>
      </c>
      <c r="M5" s="44">
        <f>Nov!$F$6</f>
        <v>0</v>
      </c>
      <c r="N5" s="105">
        <f>Dez!$F$6</f>
        <v>474.3</v>
      </c>
      <c r="O5" s="105">
        <f t="shared" si="0"/>
        <v>978.1</v>
      </c>
    </row>
    <row r="6" spans="2:15" x14ac:dyDescent="0.25">
      <c r="B6" s="47" t="s">
        <v>77</v>
      </c>
      <c r="C6" s="45">
        <f>C4+C5</f>
        <v>0</v>
      </c>
      <c r="D6" s="45">
        <f t="shared" ref="D6:N6" si="1">D4+D5</f>
        <v>0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528</v>
      </c>
      <c r="J6" s="45">
        <f t="shared" si="1"/>
        <v>647.15</v>
      </c>
      <c r="K6" s="45">
        <f t="shared" si="1"/>
        <v>461.19</v>
      </c>
      <c r="L6" s="45">
        <f t="shared" si="1"/>
        <v>63.8</v>
      </c>
      <c r="M6" s="45">
        <f t="shared" si="1"/>
        <v>322.89999999999998</v>
      </c>
      <c r="N6" s="106">
        <f t="shared" si="1"/>
        <v>801.88000000000011</v>
      </c>
      <c r="O6" s="106">
        <f t="shared" si="0"/>
        <v>2824.92</v>
      </c>
    </row>
    <row r="7" spans="2:15" x14ac:dyDescent="0.25">
      <c r="B7" s="47" t="s">
        <v>15</v>
      </c>
      <c r="C7" s="102">
        <f>C3-C6</f>
        <v>0</v>
      </c>
      <c r="D7" s="102">
        <f t="shared" ref="D7:N7" si="2">D3-D6</f>
        <v>0</v>
      </c>
      <c r="E7" s="102">
        <f t="shared" si="2"/>
        <v>0</v>
      </c>
      <c r="F7" s="102">
        <f t="shared" si="2"/>
        <v>0</v>
      </c>
      <c r="G7" s="102">
        <f t="shared" si="2"/>
        <v>0</v>
      </c>
      <c r="H7" s="102">
        <f t="shared" si="2"/>
        <v>0</v>
      </c>
      <c r="I7" s="102">
        <f t="shared" si="2"/>
        <v>126</v>
      </c>
      <c r="J7" s="102">
        <f t="shared" si="2"/>
        <v>138.37</v>
      </c>
      <c r="K7" s="102">
        <f t="shared" si="2"/>
        <v>336.7</v>
      </c>
      <c r="L7" s="102">
        <f t="shared" si="2"/>
        <v>272.89999999999998</v>
      </c>
      <c r="M7" s="102">
        <f t="shared" si="2"/>
        <v>-50</v>
      </c>
      <c r="N7" s="107">
        <f t="shared" si="2"/>
        <v>499.96000000000004</v>
      </c>
      <c r="O7" s="107">
        <f t="shared" si="0"/>
        <v>1323.9299999999998</v>
      </c>
    </row>
    <row r="8" spans="2:15" ht="15.75" thickBot="1" x14ac:dyDescent="0.3">
      <c r="B8" s="99" t="s">
        <v>128</v>
      </c>
      <c r="C8" s="100">
        <f>Jan!D4</f>
        <v>0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515.25</v>
      </c>
      <c r="O8" s="101">
        <f t="shared" si="0"/>
        <v>515.25</v>
      </c>
    </row>
    <row r="12" spans="2:15" ht="15.75" thickBot="1" x14ac:dyDescent="0.3"/>
    <row r="13" spans="2:15" ht="15.75" thickBot="1" x14ac:dyDescent="0.3">
      <c r="B13" s="52" t="s">
        <v>62</v>
      </c>
      <c r="C13" s="49" t="s">
        <v>63</v>
      </c>
      <c r="D13" s="50" t="s">
        <v>14</v>
      </c>
      <c r="E13" s="50" t="s">
        <v>64</v>
      </c>
      <c r="F13" s="50" t="s">
        <v>65</v>
      </c>
      <c r="G13" s="50" t="s">
        <v>66</v>
      </c>
      <c r="H13" s="50" t="s">
        <v>67</v>
      </c>
      <c r="I13" s="50" t="s">
        <v>68</v>
      </c>
      <c r="J13" s="50" t="s">
        <v>69</v>
      </c>
      <c r="K13" s="50" t="s">
        <v>70</v>
      </c>
      <c r="L13" s="50" t="s">
        <v>71</v>
      </c>
      <c r="M13" s="50" t="s">
        <v>72</v>
      </c>
      <c r="N13" s="51" t="s">
        <v>73</v>
      </c>
      <c r="O13" s="51" t="s">
        <v>133</v>
      </c>
    </row>
    <row r="14" spans="2:15" x14ac:dyDescent="0.25">
      <c r="B14" s="109" t="s">
        <v>35</v>
      </c>
      <c r="C14" s="110">
        <f>Jan!$B$36</f>
        <v>0</v>
      </c>
      <c r="D14" s="111">
        <f>Fev!$B$36</f>
        <v>0</v>
      </c>
      <c r="E14" s="110">
        <f>Mar!$B$36</f>
        <v>0</v>
      </c>
      <c r="F14" s="111">
        <f>Abr!$B$36</f>
        <v>0</v>
      </c>
      <c r="G14" s="110">
        <f>Mai!$B$36</f>
        <v>0</v>
      </c>
      <c r="H14" s="111">
        <f>Jun!$B$36</f>
        <v>0</v>
      </c>
      <c r="I14" s="110">
        <f>Jul!$B$36</f>
        <v>0</v>
      </c>
      <c r="J14" s="111">
        <f>Ago!$B$36</f>
        <v>27</v>
      </c>
      <c r="K14" s="110">
        <f>Set!$B$36</f>
        <v>1.6</v>
      </c>
      <c r="L14" s="111">
        <f>Out!$B$36</f>
        <v>0</v>
      </c>
      <c r="M14" s="110">
        <f>Nov!$B$36</f>
        <v>0</v>
      </c>
      <c r="N14" s="112">
        <f>Dez!$B$36</f>
        <v>42.8</v>
      </c>
      <c r="O14" s="121">
        <f>SUM(C14:N14)</f>
        <v>71.400000000000006</v>
      </c>
    </row>
    <row r="15" spans="2:15" x14ac:dyDescent="0.25">
      <c r="B15" s="113" t="s">
        <v>21</v>
      </c>
      <c r="C15" s="114">
        <f>Fev!$B$42</f>
        <v>0</v>
      </c>
      <c r="D15" s="115">
        <f>Fev!$B$42</f>
        <v>0</v>
      </c>
      <c r="E15" s="114">
        <f>Mar!$B$42</f>
        <v>0</v>
      </c>
      <c r="F15" s="115">
        <f>Abr!$B$42</f>
        <v>0</v>
      </c>
      <c r="G15" s="114">
        <f>Mai!$B$42</f>
        <v>0</v>
      </c>
      <c r="H15" s="115">
        <f>Jun!$B$42</f>
        <v>0</v>
      </c>
      <c r="I15" s="114">
        <f>Jul!$B$42</f>
        <v>57</v>
      </c>
      <c r="J15" s="115">
        <f>Ago!$B$42</f>
        <v>81.14</v>
      </c>
      <c r="K15" s="114">
        <f>Set!$B$42</f>
        <v>10</v>
      </c>
      <c r="L15" s="115">
        <f>Out!$B$42</f>
        <v>0</v>
      </c>
      <c r="M15" s="114">
        <f>Nov!$B$42</f>
        <v>0</v>
      </c>
      <c r="N15" s="116">
        <f>Dez!$B$42</f>
        <v>127.4</v>
      </c>
      <c r="O15" s="122">
        <f t="shared" ref="O15:O20" si="3">SUM(C15:N15)</f>
        <v>275.53999999999996</v>
      </c>
    </row>
    <row r="16" spans="2:15" x14ac:dyDescent="0.25">
      <c r="B16" s="113" t="s">
        <v>27</v>
      </c>
      <c r="C16" s="114">
        <f>Jan!$B$51</f>
        <v>0</v>
      </c>
      <c r="D16" s="115">
        <f>Fev!B51</f>
        <v>0</v>
      </c>
      <c r="E16" s="114">
        <f>Mar!$B$51</f>
        <v>0</v>
      </c>
      <c r="F16" s="115">
        <f>Abr!$B$51</f>
        <v>0</v>
      </c>
      <c r="G16" s="114">
        <f>Mai!$B$51</f>
        <v>0</v>
      </c>
      <c r="H16" s="115">
        <f>Jun!$B$51</f>
        <v>0</v>
      </c>
      <c r="I16" s="114">
        <f>Jul!$B$51</f>
        <v>11</v>
      </c>
      <c r="J16" s="115">
        <f>Ago!$B$51</f>
        <v>0</v>
      </c>
      <c r="K16" s="114">
        <f>Set!$B$51</f>
        <v>160.29000000000002</v>
      </c>
      <c r="L16" s="115">
        <f>Out!$B$51</f>
        <v>63.8</v>
      </c>
      <c r="M16" s="114">
        <f>Nov!$B$51</f>
        <v>0</v>
      </c>
      <c r="N16" s="116">
        <f>Dez!$B$51</f>
        <v>137.48000000000002</v>
      </c>
      <c r="O16" s="122">
        <f t="shared" si="3"/>
        <v>372.57000000000005</v>
      </c>
    </row>
    <row r="17" spans="2:15" x14ac:dyDescent="0.25">
      <c r="B17" s="113" t="s">
        <v>24</v>
      </c>
      <c r="C17" s="114">
        <f>Jan!$B$59</f>
        <v>0</v>
      </c>
      <c r="D17" s="115">
        <f>Fev!$B$59</f>
        <v>0</v>
      </c>
      <c r="E17" s="114">
        <f>Mar!$B$59</f>
        <v>0</v>
      </c>
      <c r="F17" s="115">
        <f>Abr!$B$59</f>
        <v>0</v>
      </c>
      <c r="G17" s="114">
        <f>Mai!$B$59</f>
        <v>0</v>
      </c>
      <c r="H17" s="115">
        <f>Jun!$B$59</f>
        <v>0</v>
      </c>
      <c r="I17" s="114">
        <f>Jul!$B$59</f>
        <v>460</v>
      </c>
      <c r="J17" s="115">
        <f>Ago!$B$59</f>
        <v>49.01</v>
      </c>
      <c r="K17" s="114">
        <f>Set!$B$59</f>
        <v>5.5</v>
      </c>
      <c r="L17" s="115">
        <f>Out!$B$59</f>
        <v>0</v>
      </c>
      <c r="M17" s="114">
        <f>Nov!$B$59</f>
        <v>0</v>
      </c>
      <c r="N17" s="116">
        <f>Dez!$B$59</f>
        <v>0</v>
      </c>
      <c r="O17" s="122">
        <f t="shared" si="3"/>
        <v>514.51</v>
      </c>
    </row>
    <row r="18" spans="2:15" x14ac:dyDescent="0.25">
      <c r="B18" s="113" t="s">
        <v>83</v>
      </c>
      <c r="C18" s="114">
        <f>Jan!$B$67</f>
        <v>0</v>
      </c>
      <c r="D18" s="115">
        <f>Fev!$B$67</f>
        <v>0</v>
      </c>
      <c r="E18" s="114">
        <f>Mar!$B$67</f>
        <v>0</v>
      </c>
      <c r="F18" s="115">
        <f>Abr!$B$67</f>
        <v>0</v>
      </c>
      <c r="G18" s="114">
        <f>Mai!$B$67</f>
        <v>0</v>
      </c>
      <c r="H18" s="115">
        <f>Jun!$B$67</f>
        <v>0</v>
      </c>
      <c r="I18" s="114">
        <f>Jul!$B$67</f>
        <v>0</v>
      </c>
      <c r="J18" s="115">
        <f>Ago!$B$67</f>
        <v>0</v>
      </c>
      <c r="K18" s="114">
        <f>Set!$B$67</f>
        <v>0</v>
      </c>
      <c r="L18" s="115">
        <f>Out!$B$67</f>
        <v>0</v>
      </c>
      <c r="M18" s="114">
        <f>Nov!$B$67</f>
        <v>0</v>
      </c>
      <c r="N18" s="116">
        <f>Dez!$B$67</f>
        <v>0</v>
      </c>
      <c r="O18" s="122">
        <f t="shared" si="3"/>
        <v>0</v>
      </c>
    </row>
    <row r="19" spans="2:15" x14ac:dyDescent="0.25">
      <c r="B19" s="113" t="s">
        <v>84</v>
      </c>
      <c r="C19" s="114">
        <f>Jan!$B$75</f>
        <v>0</v>
      </c>
      <c r="D19" s="115">
        <f>Fev!$B$75</f>
        <v>0</v>
      </c>
      <c r="E19" s="114">
        <f>Mar!$B$75</f>
        <v>0</v>
      </c>
      <c r="F19" s="115">
        <f>Abr!$B$75</f>
        <v>0</v>
      </c>
      <c r="G19" s="114">
        <f>Mai!$B$75</f>
        <v>0</v>
      </c>
      <c r="H19" s="115">
        <f>Jun!$B$75</f>
        <v>0</v>
      </c>
      <c r="I19" s="114">
        <f>Jul!$B$75</f>
        <v>0</v>
      </c>
      <c r="J19" s="115">
        <f>Ago!$B$75</f>
        <v>0</v>
      </c>
      <c r="K19" s="114">
        <f>Set!$B$75</f>
        <v>0</v>
      </c>
      <c r="L19" s="115">
        <f>Out!$B$75</f>
        <v>0</v>
      </c>
      <c r="M19" s="114">
        <f>Nov!$B$75</f>
        <v>0</v>
      </c>
      <c r="N19" s="116">
        <f>Dez!$B$75</f>
        <v>0</v>
      </c>
      <c r="O19" s="122">
        <f t="shared" si="3"/>
        <v>0</v>
      </c>
    </row>
    <row r="20" spans="2:15" ht="15.75" thickBot="1" x14ac:dyDescent="0.3">
      <c r="B20" s="117" t="s">
        <v>45</v>
      </c>
      <c r="C20" s="118">
        <f>Jan!$B$83</f>
        <v>0</v>
      </c>
      <c r="D20" s="119">
        <f>Fev!$B$83</f>
        <v>0</v>
      </c>
      <c r="E20" s="118">
        <f>Mar!$B$83</f>
        <v>0</v>
      </c>
      <c r="F20" s="119">
        <f>Abr!$B$83</f>
        <v>0</v>
      </c>
      <c r="G20" s="118">
        <f>Mai!$B$83</f>
        <v>0</v>
      </c>
      <c r="H20" s="119">
        <f>Jun!$B$83</f>
        <v>0</v>
      </c>
      <c r="I20" s="118">
        <f>Jul!$B$83</f>
        <v>0</v>
      </c>
      <c r="J20" s="119">
        <f>Ago!$B$83</f>
        <v>270</v>
      </c>
      <c r="K20" s="118">
        <f>Set!$B$83</f>
        <v>0</v>
      </c>
      <c r="L20" s="119">
        <f>Out!$B$83</f>
        <v>0</v>
      </c>
      <c r="M20" s="118">
        <f>Nov!$B$83</f>
        <v>0</v>
      </c>
      <c r="N20" s="120">
        <f>Dez!$B$83</f>
        <v>0</v>
      </c>
      <c r="O20" s="123">
        <f t="shared" si="3"/>
        <v>270</v>
      </c>
    </row>
    <row r="23" spans="2:15" ht="15.75" thickBot="1" x14ac:dyDescent="0.3"/>
    <row r="24" spans="2:15" ht="15.75" thickBot="1" x14ac:dyDescent="0.3">
      <c r="B24" s="72" t="s">
        <v>35</v>
      </c>
      <c r="C24" s="66" t="s">
        <v>120</v>
      </c>
      <c r="D24" s="67">
        <f>SUBTOTAL(9,Fev!D35,Fev!D35,Mar!D35,Abr!D35,Mai!D35,Jun!D35,Jul!D35,Ago!D35,Set!D35,Out!D35,Nov!D35,Dez!D35)</f>
        <v>17.23</v>
      </c>
      <c r="F24"/>
      <c r="G24"/>
    </row>
    <row r="25" spans="2:15" ht="15.75" thickBot="1" x14ac:dyDescent="0.3">
      <c r="B25" s="73">
        <f>SUM(D24:D28)</f>
        <v>71.400000000000006</v>
      </c>
      <c r="C25" s="68" t="s">
        <v>80</v>
      </c>
      <c r="D25" s="69">
        <f>SUBTOTAL(9,Fev!D36,Fev!D36,Mar!D36,Abr!D36,Mai!D36,Jun!D36,Jul!D36,Ago!D36,Set!D36,Out!D36,Nov!D36,Dez!D36)</f>
        <v>25.57</v>
      </c>
      <c r="F25" s="78" t="s">
        <v>111</v>
      </c>
      <c r="G25" s="67">
        <f>SUBTOTAL(9,Jan!I35,Fev!I35,Mar!I35,Abr!I35,Mai!I35,Jun!I35,Jul!I35,Ago!I35,Set!I35,Out!I35,Nov!I35,Dez!I35)</f>
        <v>30</v>
      </c>
    </row>
    <row r="26" spans="2:15" x14ac:dyDescent="0.25">
      <c r="B26"/>
      <c r="C26" s="68" t="s">
        <v>81</v>
      </c>
      <c r="D26" s="69">
        <f>SUBTOTAL(9,Fev!D37,Fev!D37,Mar!D37,Abr!D37,Mai!D37,Jun!D37,Jul!D37,Ago!D37,Set!D37,Out!D37,Nov!D37,Dez!D37)</f>
        <v>0</v>
      </c>
      <c r="F26" s="79" t="s">
        <v>112</v>
      </c>
      <c r="G26" s="69">
        <f>SUBTOTAL(9,Jan!I36,Fev!I36,Mar!I36,Abr!I36,Mai!I36,Jun!I36,Jul!I36,Ago!I36,Set!I36,Out!I36,Nov!I36,Dez!I36)</f>
        <v>13.6</v>
      </c>
    </row>
    <row r="27" spans="2:15" x14ac:dyDescent="0.25">
      <c r="B27"/>
      <c r="C27" s="68" t="s">
        <v>36</v>
      </c>
      <c r="D27" s="69">
        <f>SUBTOTAL(9,Fev!D38,Fev!D38,Mar!D38,Abr!D38,Mai!D38,Jun!D38,Jul!D38,Ago!D38,Set!D38,Out!D38,Nov!D38,Dez!D38)</f>
        <v>28.6</v>
      </c>
      <c r="F27" s="79" t="s">
        <v>113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114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115</v>
      </c>
      <c r="G29" s="69">
        <f>SUBTOTAL(9,Jan!I39,Fev!I39,Mar!I39,Abr!I39,Mai!I39,Jun!I39,Jul!I39,Ago!I39,Set!I39,Out!I39,Nov!I39,Dez!I39)</f>
        <v>60</v>
      </c>
    </row>
    <row r="30" spans="2:15" x14ac:dyDescent="0.25">
      <c r="B30" s="72" t="s">
        <v>21</v>
      </c>
      <c r="C30" s="66" t="s">
        <v>85</v>
      </c>
      <c r="D30" s="67">
        <f>SUBTOTAL(9,Fev!D41,Fev!D41,Mar!D41,Abr!D41,Mai!D41,Jun!D41,Jul!D41,Ago!D41,Set!D41,Out!D41,Nov!D41,Dez!D41)</f>
        <v>0</v>
      </c>
      <c r="F30" s="79" t="s">
        <v>116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275.54000000000002</v>
      </c>
      <c r="C31" s="68" t="s">
        <v>22</v>
      </c>
      <c r="D31" s="69">
        <f>SUBTOTAL(9,Fev!D42,Fev!D42,Mar!D42,Abr!D42,Mai!D42,Jun!D42,Jul!D42,Ago!D42,Set!D42,Out!D42,Nov!D42,Dez!D42)</f>
        <v>83</v>
      </c>
      <c r="F31" s="79" t="s">
        <v>117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40</v>
      </c>
      <c r="D32" s="69">
        <f>SUBTOTAL(9,Fev!D43,Fev!D43,Mar!D43,Abr!D43,Mai!D43,Jun!D43,Jul!D43,Ago!D43,Set!D43,Out!D43,Nov!D43,Dez!D43)</f>
        <v>75</v>
      </c>
      <c r="F32" s="79" t="s">
        <v>118</v>
      </c>
      <c r="G32" s="69">
        <f>SUBTOTAL(9,Jan!I42,Fev!I42,Mar!I42,Abr!I42,Mai!I42,Jun!I42,Jul!I42,Ago!I42,Set!I42,Out!I42,Nov!I42,Dez!I42)</f>
        <v>624.5</v>
      </c>
    </row>
    <row r="33" spans="2:7" x14ac:dyDescent="0.25">
      <c r="B33"/>
      <c r="C33" s="68" t="s">
        <v>87</v>
      </c>
      <c r="D33" s="69">
        <f>SUBTOTAL(9,Fev!D44,Fev!D44,Mar!D44,Abr!D44,Mai!D44,Jun!D44,Jul!D44,Ago!D44,Set!D44,Out!D44,Nov!D44,Dez!D44)</f>
        <v>0</v>
      </c>
      <c r="F33" s="79" t="s">
        <v>84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86</v>
      </c>
      <c r="D34" s="69">
        <f>SUBTOTAL(9,Fev!D45,Fev!D45,Mar!D45,Abr!D45,Mai!D45,Jun!D45,Jul!D45,Ago!D45,Set!D45,Out!D45,Nov!D45,Dez!D45)</f>
        <v>0</v>
      </c>
      <c r="F34" s="79" t="s">
        <v>119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43</v>
      </c>
      <c r="D35" s="69">
        <f>SUBTOTAL(9,Fev!D46,Fev!D46,Mar!D46,Abr!D46,Mai!D46,Jun!D46,Jul!D46,Ago!D46,Set!D46,Out!D46,Nov!D46,Dez!D46)</f>
        <v>117.54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86</v>
      </c>
    </row>
    <row r="40" spans="2:7" ht="15.75" thickBot="1" x14ac:dyDescent="0.3">
      <c r="B40" s="73">
        <f>SUM(D39:D45)</f>
        <v>372.57</v>
      </c>
      <c r="C40" s="68" t="s">
        <v>88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89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51</v>
      </c>
      <c r="D42" s="69">
        <f>SUBTOTAL(9,Fev!D53,Fev!D53,Mar!D53,Abr!D53,Mai!D53,Jun!D53,Jul!D53,Ago!D53,Set!D53,Out!D53,Nov!D53,Dez!D53)</f>
        <v>200.27</v>
      </c>
    </row>
    <row r="43" spans="2:7" x14ac:dyDescent="0.25">
      <c r="B43"/>
      <c r="C43" s="68" t="s">
        <v>90</v>
      </c>
      <c r="D43" s="69">
        <f>SUBTOTAL(9,Fev!D54,Fev!D54,Mar!D54,Abr!D54,Mai!D54,Jun!D54,Jul!D54,Ago!D54,Set!D54,Out!D54,Nov!D54,Dez!D54)</f>
        <v>22.5</v>
      </c>
    </row>
    <row r="44" spans="2:7" x14ac:dyDescent="0.25">
      <c r="B44"/>
      <c r="C44" s="68" t="s">
        <v>58</v>
      </c>
      <c r="D44" s="69">
        <f>SUBTOTAL(9,Fev!D55,Fev!D55,Mar!D55,Abr!D55,Mai!D55,Jun!D55,Jul!D55,Ago!D55,Set!D55,Out!D55,Nov!D55,Dez!D55)</f>
        <v>63.8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121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514.51</v>
      </c>
      <c r="C48" s="68" t="s">
        <v>32</v>
      </c>
      <c r="D48" s="69">
        <f>SUBTOTAL(9,Fev!D59,Fev!D59,Mar!D59,Abr!D59,Mai!D59,Jun!D59,Jul!D59,Ago!D59,Set!D59,Out!D59,Nov!D59,Dez!D59)</f>
        <v>54.51</v>
      </c>
    </row>
    <row r="49" spans="2:4" x14ac:dyDescent="0.25">
      <c r="B49"/>
      <c r="C49" s="68" t="s">
        <v>91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92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93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460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83</v>
      </c>
      <c r="C55" s="66" t="s">
        <v>122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95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96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123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98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99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84</v>
      </c>
      <c r="C63" s="66" t="s">
        <v>100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101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103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105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45</v>
      </c>
      <c r="C71" s="66" t="s">
        <v>106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270</v>
      </c>
      <c r="C72" s="68" t="s">
        <v>107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108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109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110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46</v>
      </c>
      <c r="D76" s="69">
        <f>SUBTOTAL(9,Fev!D87,Fev!D87,Mar!D87,Abr!D87,Mai!D87,Jun!D87,Jul!D87,Ago!D87,Set!D87,Out!D87,Nov!D87,Dez!D87)</f>
        <v>270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G1" zoomScaleNormal="100" workbookViewId="0">
      <selection activeCell="N21" sqref="N21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125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78</v>
      </c>
      <c r="N3" s="53" t="s">
        <v>79</v>
      </c>
      <c r="P3" s="57" t="s">
        <v>35</v>
      </c>
      <c r="R3" s="56" t="s">
        <v>111</v>
      </c>
    </row>
    <row r="4" spans="2:18" x14ac:dyDescent="0.25">
      <c r="B4" s="6" t="s">
        <v>128</v>
      </c>
      <c r="C4" s="7"/>
      <c r="D4" s="27"/>
      <c r="F4" s="37">
        <f>SUM(F11:F32)</f>
        <v>0</v>
      </c>
      <c r="M4" s="57" t="str">
        <f>P3</f>
        <v>Alimentação</v>
      </c>
      <c r="N4" s="55" t="s">
        <v>120</v>
      </c>
      <c r="P4" s="57" t="s">
        <v>21</v>
      </c>
      <c r="R4" s="56" t="s">
        <v>112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80</v>
      </c>
      <c r="P5" s="57" t="s">
        <v>27</v>
      </c>
      <c r="R5" s="56" t="s">
        <v>113</v>
      </c>
    </row>
    <row r="6" spans="2:18" x14ac:dyDescent="0.25">
      <c r="B6" s="24"/>
      <c r="C6" s="25"/>
      <c r="D6" s="27"/>
      <c r="F6" s="36">
        <f>SUM(K11:K22)</f>
        <v>0</v>
      </c>
      <c r="N6" s="55" t="s">
        <v>153</v>
      </c>
      <c r="P6" s="57" t="s">
        <v>82</v>
      </c>
      <c r="R6" s="56" t="s">
        <v>114</v>
      </c>
    </row>
    <row r="7" spans="2:18" ht="15.75" thickBot="1" x14ac:dyDescent="0.3">
      <c r="B7" s="8" t="s">
        <v>127</v>
      </c>
      <c r="C7" s="9"/>
      <c r="D7" s="28" t="s">
        <v>126</v>
      </c>
      <c r="F7" s="39">
        <f>F3-F4-F6</f>
        <v>0</v>
      </c>
      <c r="N7" s="55" t="s">
        <v>36</v>
      </c>
      <c r="P7" s="57" t="s">
        <v>24</v>
      </c>
      <c r="R7" s="56" t="s">
        <v>115</v>
      </c>
    </row>
    <row r="8" spans="2:18" ht="15.75" thickBot="1" x14ac:dyDescent="0.3">
      <c r="D8"/>
      <c r="N8" s="55" t="s">
        <v>154</v>
      </c>
      <c r="P8" s="57" t="s">
        <v>83</v>
      </c>
      <c r="R8" s="56" t="s">
        <v>116</v>
      </c>
    </row>
    <row r="9" spans="2:18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N9" s="54"/>
      <c r="P9" s="57" t="s">
        <v>84</v>
      </c>
      <c r="R9" s="56" t="s">
        <v>117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85</v>
      </c>
      <c r="P10" s="57" t="s">
        <v>45</v>
      </c>
      <c r="R10" s="56" t="s">
        <v>118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84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40</v>
      </c>
      <c r="R12" s="56" t="s">
        <v>119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156</v>
      </c>
      <c r="R13" s="56" t="s">
        <v>152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87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28" t="s">
        <v>155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88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157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51</v>
      </c>
    </row>
    <row r="23" spans="2:14" x14ac:dyDescent="0.25">
      <c r="B23" s="22"/>
      <c r="C23" s="7"/>
      <c r="D23" s="7"/>
      <c r="E23" s="7"/>
      <c r="F23" s="34"/>
      <c r="N23" s="55" t="s">
        <v>90</v>
      </c>
    </row>
    <row r="24" spans="2:14" x14ac:dyDescent="0.25">
      <c r="B24" s="22"/>
      <c r="C24" s="7"/>
      <c r="D24" s="7"/>
      <c r="E24" s="7"/>
      <c r="F24" s="34"/>
      <c r="N24" s="55" t="s">
        <v>58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124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91</v>
      </c>
    </row>
    <row r="32" spans="2:14" ht="15.75" thickBot="1" x14ac:dyDescent="0.3">
      <c r="B32" s="23"/>
      <c r="C32" s="9"/>
      <c r="D32" s="9"/>
      <c r="E32" s="9"/>
      <c r="F32" s="35"/>
      <c r="N32" s="55" t="s">
        <v>92</v>
      </c>
    </row>
    <row r="33" spans="2:14" x14ac:dyDescent="0.25">
      <c r="D33"/>
      <c r="N33" s="55" t="s">
        <v>93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35</v>
      </c>
      <c r="C35" s="55" t="s">
        <v>120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80</v>
      </c>
      <c r="D36" s="64">
        <f t="shared" ref="D36:D88" si="0">SUMIF($D$11:$D$32,C36,$F$11:$F$32)</f>
        <v>0</v>
      </c>
      <c r="H36" s="91" t="s">
        <v>129</v>
      </c>
      <c r="I36" s="92" t="s">
        <v>130</v>
      </c>
      <c r="J36" s="93" t="s">
        <v>131</v>
      </c>
      <c r="K36" s="94" t="s">
        <v>74</v>
      </c>
    </row>
    <row r="37" spans="2:14" x14ac:dyDescent="0.25">
      <c r="C37" s="55" t="s">
        <v>81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94</v>
      </c>
    </row>
    <row r="38" spans="2:14" x14ac:dyDescent="0.25">
      <c r="C38" s="55" t="s">
        <v>36</v>
      </c>
      <c r="D38" s="64">
        <f t="shared" si="0"/>
        <v>0</v>
      </c>
      <c r="H38" s="77"/>
      <c r="I38" s="96"/>
      <c r="J38" s="87"/>
      <c r="K38" s="61"/>
      <c r="N38" s="59" t="s">
        <v>95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96</v>
      </c>
    </row>
    <row r="40" spans="2:14" x14ac:dyDescent="0.25">
      <c r="C40" s="54"/>
      <c r="H40" s="77"/>
      <c r="I40" s="96"/>
      <c r="J40" s="87"/>
      <c r="K40" s="61"/>
      <c r="N40" s="59" t="s">
        <v>97</v>
      </c>
    </row>
    <row r="41" spans="2:14" x14ac:dyDescent="0.25">
      <c r="B41" s="57" t="s">
        <v>21</v>
      </c>
      <c r="C41" s="55" t="s">
        <v>85</v>
      </c>
      <c r="D41" s="64">
        <f t="shared" si="0"/>
        <v>0</v>
      </c>
      <c r="H41" s="77"/>
      <c r="I41" s="96"/>
      <c r="J41" s="87"/>
      <c r="K41" s="61"/>
      <c r="N41" s="59" t="s">
        <v>98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99</v>
      </c>
    </row>
    <row r="43" spans="2:14" x14ac:dyDescent="0.25">
      <c r="C43" s="55" t="s">
        <v>40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87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86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100</v>
      </c>
    </row>
    <row r="46" spans="2:14" x14ac:dyDescent="0.25">
      <c r="C46" s="55" t="s">
        <v>43</v>
      </c>
      <c r="D46" s="64">
        <f t="shared" si="0"/>
        <v>0</v>
      </c>
      <c r="H46" s="77"/>
      <c r="I46" s="96"/>
      <c r="J46" s="87"/>
      <c r="K46" s="61"/>
      <c r="N46" s="55" t="s">
        <v>101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102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103</v>
      </c>
    </row>
    <row r="49" spans="2:14" x14ac:dyDescent="0.25">
      <c r="H49" s="77"/>
      <c r="I49" s="96"/>
      <c r="J49" s="87"/>
      <c r="K49" s="61"/>
      <c r="N49" s="55" t="s">
        <v>104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105</v>
      </c>
    </row>
    <row r="51" spans="2:14" x14ac:dyDescent="0.25">
      <c r="B51" s="65">
        <f>SUBTOTAL(9,D50:D56)</f>
        <v>0</v>
      </c>
      <c r="C51" s="55" t="s">
        <v>88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89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51</v>
      </c>
      <c r="D53" s="64">
        <f t="shared" si="0"/>
        <v>0</v>
      </c>
      <c r="M53" s="57" t="str">
        <f>P10</f>
        <v>Imprevistos</v>
      </c>
      <c r="N53" s="55" t="s">
        <v>106</v>
      </c>
    </row>
    <row r="54" spans="2:14" x14ac:dyDescent="0.25">
      <c r="C54" s="55" t="s">
        <v>90</v>
      </c>
      <c r="D54" s="64">
        <f t="shared" si="0"/>
        <v>0</v>
      </c>
      <c r="N54" s="55" t="s">
        <v>107</v>
      </c>
    </row>
    <row r="55" spans="2:14" x14ac:dyDescent="0.25">
      <c r="C55" s="55" t="s">
        <v>58</v>
      </c>
      <c r="D55" s="64">
        <f t="shared" si="0"/>
        <v>0</v>
      </c>
      <c r="N55" s="55" t="s">
        <v>108</v>
      </c>
    </row>
    <row r="56" spans="2:14" x14ac:dyDescent="0.25">
      <c r="C56" s="56"/>
      <c r="D56" s="64">
        <f t="shared" si="0"/>
        <v>0</v>
      </c>
      <c r="N56" s="55" t="s">
        <v>109</v>
      </c>
    </row>
    <row r="57" spans="2:14" x14ac:dyDescent="0.25">
      <c r="N57" s="55" t="s">
        <v>110</v>
      </c>
    </row>
    <row r="58" spans="2:14" x14ac:dyDescent="0.25">
      <c r="B58" s="57" t="s">
        <v>24</v>
      </c>
      <c r="C58" s="55" t="s">
        <v>121</v>
      </c>
      <c r="D58" s="64">
        <f t="shared" si="0"/>
        <v>0</v>
      </c>
      <c r="N58" s="55" t="s">
        <v>46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91</v>
      </c>
      <c r="D60" s="64">
        <f t="shared" si="0"/>
        <v>0</v>
      </c>
    </row>
    <row r="61" spans="2:14" x14ac:dyDescent="0.25">
      <c r="C61" s="55" t="s">
        <v>92</v>
      </c>
      <c r="D61" s="64">
        <f t="shared" si="0"/>
        <v>0</v>
      </c>
    </row>
    <row r="62" spans="2:14" x14ac:dyDescent="0.25">
      <c r="C62" s="55" t="s">
        <v>93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83</v>
      </c>
      <c r="C66" s="59" t="s">
        <v>122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95</v>
      </c>
      <c r="D67" s="64">
        <f t="shared" si="0"/>
        <v>0</v>
      </c>
    </row>
    <row r="68" spans="2:4" x14ac:dyDescent="0.25">
      <c r="C68" s="59" t="s">
        <v>96</v>
      </c>
      <c r="D68" s="64">
        <f t="shared" si="0"/>
        <v>0</v>
      </c>
    </row>
    <row r="69" spans="2:4" x14ac:dyDescent="0.25">
      <c r="C69" s="59" t="s">
        <v>123</v>
      </c>
      <c r="D69" s="64">
        <f t="shared" si="0"/>
        <v>0</v>
      </c>
    </row>
    <row r="70" spans="2:4" x14ac:dyDescent="0.25">
      <c r="C70" s="59" t="s">
        <v>98</v>
      </c>
      <c r="D70" s="64">
        <f t="shared" si="0"/>
        <v>0</v>
      </c>
    </row>
    <row r="71" spans="2:4" x14ac:dyDescent="0.25">
      <c r="C71" s="59" t="s">
        <v>99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84</v>
      </c>
      <c r="C74" s="55" t="s">
        <v>100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101</v>
      </c>
      <c r="D75" s="64">
        <f t="shared" si="0"/>
        <v>0</v>
      </c>
    </row>
    <row r="76" spans="2:4" x14ac:dyDescent="0.25">
      <c r="C76" s="55" t="s">
        <v>103</v>
      </c>
      <c r="D76" s="64">
        <f t="shared" si="0"/>
        <v>0</v>
      </c>
    </row>
    <row r="77" spans="2:4" x14ac:dyDescent="0.25">
      <c r="C77" s="55" t="s">
        <v>105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45</v>
      </c>
      <c r="C82" s="55" t="s">
        <v>106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107</v>
      </c>
      <c r="D83" s="64">
        <f>SUMIF($D$11:$D$32,C83,$F$11:$F$32)</f>
        <v>0</v>
      </c>
    </row>
    <row r="84" spans="2:4" x14ac:dyDescent="0.25">
      <c r="C84" s="55" t="s">
        <v>108</v>
      </c>
      <c r="D84" s="64">
        <f t="shared" si="0"/>
        <v>0</v>
      </c>
    </row>
    <row r="85" spans="2:4" x14ac:dyDescent="0.25">
      <c r="C85" s="55" t="s">
        <v>109</v>
      </c>
      <c r="D85" s="64">
        <f t="shared" si="0"/>
        <v>0</v>
      </c>
    </row>
    <row r="86" spans="2:4" x14ac:dyDescent="0.25">
      <c r="C86" s="55" t="s">
        <v>110</v>
      </c>
      <c r="D86" s="64">
        <f t="shared" si="0"/>
        <v>0</v>
      </c>
    </row>
    <row r="87" spans="2:4" x14ac:dyDescent="0.25">
      <c r="C87" s="55" t="s">
        <v>46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2025-12-29T19:39:26Z</dcterms:modified>
  <cp:category/>
  <cp:contentStatus/>
</cp:coreProperties>
</file>