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5319\Documents\Miguel\Code\Estudos\JavaScript\"/>
    </mc:Choice>
  </mc:AlternateContent>
  <bookViews>
    <workbookView xWindow="0" yWindow="0" windowWidth="20490" windowHeight="7755" tabRatio="845" activeTab="11"/>
  </bookViews>
  <sheets>
    <sheet name="Jan" sheetId="1" r:id="rId1"/>
    <sheet name="Fev" sheetId="10" r:id="rId2"/>
    <sheet name="Mar" sheetId="11" r:id="rId3"/>
    <sheet name="Abr" sheetId="12" r:id="rId4"/>
    <sheet name="Mai" sheetId="13" r:id="rId5"/>
    <sheet name="Jun" sheetId="14" r:id="rId6"/>
    <sheet name="Jul" sheetId="4" r:id="rId7"/>
    <sheet name="Ago" sheetId="5" r:id="rId8"/>
    <sheet name="Set" sheetId="6" r:id="rId9"/>
    <sheet name="Out" sheetId="7" r:id="rId10"/>
    <sheet name="Nov" sheetId="8" r:id="rId11"/>
    <sheet name="Dez" sheetId="9" r:id="rId12"/>
    <sheet name="Anual" sheetId="3" r:id="rId13"/>
    <sheet name="Gastos Fixos anual" sheetId="16" r:id="rId14"/>
    <sheet name="Fluxo mensal" sheetId="15" r:id="rId15"/>
    <sheet name="Modelo" sheetId="2" state="hidden" r:id="rId16"/>
  </sheets>
  <definedNames>
    <definedName name="Alimentação">Modelo!$N$4:$N$8</definedName>
    <definedName name="Despesas">Modelo!$N$19:$N$25</definedName>
    <definedName name="Educação">Modelo!$N$37:$N$43</definedName>
    <definedName name="Imprevistos">Modelo!$N$53:$N$59</definedName>
    <definedName name="Lazer">Modelo!$N$10:$N$17</definedName>
    <definedName name="Moradia">Modelo!#REF!</definedName>
    <definedName name="Saúde">Modelo!$N$45:$N$51</definedName>
    <definedName name="Transporte">Modelo!$N$29:$N$35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3" l="1"/>
  <c r="B51" i="10" l="1"/>
  <c r="D16" i="3"/>
  <c r="D14" i="3"/>
  <c r="D15" i="3"/>
  <c r="D17" i="3"/>
  <c r="D18" i="3"/>
  <c r="D19" i="3"/>
  <c r="D20" i="3"/>
  <c r="O18" i="3"/>
  <c r="E15" i="3"/>
  <c r="F15" i="3"/>
  <c r="G15" i="3"/>
  <c r="H15" i="3"/>
  <c r="I15" i="3"/>
  <c r="J15" i="3"/>
  <c r="K15" i="3"/>
  <c r="L15" i="3"/>
  <c r="M15" i="3"/>
  <c r="N15" i="3"/>
  <c r="C15" i="3"/>
  <c r="E14" i="3"/>
  <c r="F14" i="3"/>
  <c r="G14" i="3"/>
  <c r="H14" i="3"/>
  <c r="I14" i="3"/>
  <c r="J14" i="3"/>
  <c r="K14" i="3"/>
  <c r="L14" i="3"/>
  <c r="M14" i="3"/>
  <c r="N14" i="3"/>
  <c r="E16" i="3"/>
  <c r="F16" i="3"/>
  <c r="O16" i="3" s="1"/>
  <c r="G16" i="3"/>
  <c r="H16" i="3"/>
  <c r="I16" i="3"/>
  <c r="J16" i="3"/>
  <c r="K16" i="3"/>
  <c r="L16" i="3"/>
  <c r="M16" i="3"/>
  <c r="N16" i="3"/>
  <c r="E17" i="3"/>
  <c r="F17" i="3"/>
  <c r="G17" i="3"/>
  <c r="H17" i="3"/>
  <c r="I17" i="3"/>
  <c r="J17" i="3"/>
  <c r="K17" i="3"/>
  <c r="L17" i="3"/>
  <c r="M17" i="3"/>
  <c r="N17" i="3"/>
  <c r="E18" i="3"/>
  <c r="F18" i="3"/>
  <c r="G18" i="3"/>
  <c r="H18" i="3"/>
  <c r="I18" i="3"/>
  <c r="J18" i="3"/>
  <c r="K18" i="3"/>
  <c r="L18" i="3"/>
  <c r="M18" i="3"/>
  <c r="N18" i="3"/>
  <c r="E19" i="3"/>
  <c r="F19" i="3"/>
  <c r="G19" i="3"/>
  <c r="H19" i="3"/>
  <c r="I19" i="3"/>
  <c r="J19" i="3"/>
  <c r="K19" i="3"/>
  <c r="L19" i="3"/>
  <c r="M19" i="3"/>
  <c r="N19" i="3"/>
  <c r="E20" i="3"/>
  <c r="F20" i="3"/>
  <c r="G20" i="3"/>
  <c r="H20" i="3"/>
  <c r="I20" i="3"/>
  <c r="J20" i="3"/>
  <c r="K20" i="3"/>
  <c r="L20" i="3"/>
  <c r="M20" i="3"/>
  <c r="N20" i="3"/>
  <c r="C20" i="3"/>
  <c r="C19" i="3"/>
  <c r="C18" i="3"/>
  <c r="C17" i="3"/>
  <c r="C16" i="3"/>
  <c r="C14" i="3"/>
  <c r="O17" i="3"/>
  <c r="F3" i="1"/>
  <c r="M8" i="3"/>
  <c r="K8" i="3"/>
  <c r="J8" i="3"/>
  <c r="L8" i="3"/>
  <c r="I8" i="3"/>
  <c r="H8" i="3"/>
  <c r="G8" i="3"/>
  <c r="F8" i="3"/>
  <c r="E8" i="3"/>
  <c r="D8" i="3"/>
  <c r="C8" i="3"/>
  <c r="F5" i="10"/>
  <c r="F5" i="11"/>
  <c r="F5" i="12"/>
  <c r="F5" i="13"/>
  <c r="F5" i="14"/>
  <c r="F5" i="4"/>
  <c r="F5" i="5"/>
  <c r="F5" i="6"/>
  <c r="F5" i="7"/>
  <c r="F5" i="8"/>
  <c r="F5" i="1"/>
  <c r="F4" i="10"/>
  <c r="F4" i="11"/>
  <c r="F4" i="12"/>
  <c r="F4" i="13"/>
  <c r="F4" i="14"/>
  <c r="F4" i="4"/>
  <c r="F4" i="5"/>
  <c r="F4" i="6"/>
  <c r="F4" i="7"/>
  <c r="F4" i="8"/>
  <c r="F4" i="9"/>
  <c r="F4" i="1"/>
  <c r="F5" i="2"/>
  <c r="D4" i="10"/>
  <c r="D4" i="11"/>
  <c r="D4" i="12"/>
  <c r="D4" i="13"/>
  <c r="D4" i="14"/>
  <c r="D4" i="4"/>
  <c r="D4" i="5"/>
  <c r="D4" i="6"/>
  <c r="D4" i="7"/>
  <c r="D4" i="8"/>
  <c r="D4" i="9"/>
  <c r="N8" i="3" s="1"/>
  <c r="D4" i="1"/>
  <c r="F3" i="2"/>
  <c r="F4" i="2"/>
  <c r="F6" i="2"/>
  <c r="I36" i="10"/>
  <c r="I37" i="10"/>
  <c r="I38" i="10"/>
  <c r="I39" i="10"/>
  <c r="I40" i="10"/>
  <c r="I41" i="10"/>
  <c r="I42" i="10"/>
  <c r="I43" i="10"/>
  <c r="I44" i="10"/>
  <c r="I45" i="10"/>
  <c r="I36" i="11"/>
  <c r="I37" i="11"/>
  <c r="I38" i="11"/>
  <c r="I39" i="11"/>
  <c r="I40" i="11"/>
  <c r="I41" i="11"/>
  <c r="I42" i="11"/>
  <c r="I43" i="11"/>
  <c r="I44" i="11"/>
  <c r="I45" i="11"/>
  <c r="I36" i="12"/>
  <c r="I37" i="12"/>
  <c r="I38" i="12"/>
  <c r="I39" i="12"/>
  <c r="I40" i="12"/>
  <c r="I41" i="12"/>
  <c r="I42" i="12"/>
  <c r="I43" i="12"/>
  <c r="I44" i="12"/>
  <c r="I45" i="12"/>
  <c r="I36" i="13"/>
  <c r="I37" i="13"/>
  <c r="I38" i="13"/>
  <c r="I39" i="13"/>
  <c r="I40" i="13"/>
  <c r="I41" i="13"/>
  <c r="I42" i="13"/>
  <c r="I43" i="13"/>
  <c r="I44" i="13"/>
  <c r="I45" i="13"/>
  <c r="I36" i="14"/>
  <c r="I37" i="14"/>
  <c r="I38" i="14"/>
  <c r="I39" i="14"/>
  <c r="I40" i="14"/>
  <c r="I41" i="14"/>
  <c r="I42" i="14"/>
  <c r="I43" i="14"/>
  <c r="I44" i="14"/>
  <c r="I45" i="14"/>
  <c r="I36" i="4"/>
  <c r="I37" i="4"/>
  <c r="I38" i="4"/>
  <c r="I39" i="4"/>
  <c r="I40" i="4"/>
  <c r="I41" i="4"/>
  <c r="I42" i="4"/>
  <c r="I43" i="4"/>
  <c r="I44" i="4"/>
  <c r="I45" i="4"/>
  <c r="I36" i="5"/>
  <c r="I37" i="5"/>
  <c r="I38" i="5"/>
  <c r="I39" i="5"/>
  <c r="I40" i="5"/>
  <c r="I41" i="5"/>
  <c r="I42" i="5"/>
  <c r="I43" i="5"/>
  <c r="I44" i="5"/>
  <c r="I45" i="5"/>
  <c r="I36" i="6"/>
  <c r="I37" i="6"/>
  <c r="I38" i="6"/>
  <c r="I39" i="6"/>
  <c r="I40" i="6"/>
  <c r="I41" i="6"/>
  <c r="I42" i="6"/>
  <c r="I43" i="6"/>
  <c r="I44" i="6"/>
  <c r="I45" i="6"/>
  <c r="I36" i="7"/>
  <c r="I37" i="7"/>
  <c r="I38" i="7"/>
  <c r="I39" i="7"/>
  <c r="I40" i="7"/>
  <c r="I41" i="7"/>
  <c r="I42" i="7"/>
  <c r="I43" i="7"/>
  <c r="I44" i="7"/>
  <c r="I45" i="7"/>
  <c r="I36" i="8"/>
  <c r="I37" i="8"/>
  <c r="I38" i="8"/>
  <c r="I39" i="8"/>
  <c r="I40" i="8"/>
  <c r="I41" i="8"/>
  <c r="I42" i="8"/>
  <c r="I43" i="8"/>
  <c r="I44" i="8"/>
  <c r="I45" i="8"/>
  <c r="I36" i="9"/>
  <c r="I37" i="9"/>
  <c r="I38" i="9"/>
  <c r="I39" i="9"/>
  <c r="I40" i="9"/>
  <c r="I41" i="9"/>
  <c r="I42" i="9"/>
  <c r="I43" i="9"/>
  <c r="I44" i="9"/>
  <c r="I45" i="9"/>
  <c r="I36" i="1"/>
  <c r="I37" i="1"/>
  <c r="I38" i="1"/>
  <c r="I39" i="1"/>
  <c r="I40" i="1"/>
  <c r="I41" i="1"/>
  <c r="I42" i="1"/>
  <c r="I43" i="1"/>
  <c r="I44" i="1"/>
  <c r="I45" i="1"/>
  <c r="I35" i="10"/>
  <c r="I35" i="11"/>
  <c r="I35" i="12"/>
  <c r="I35" i="13"/>
  <c r="I35" i="14"/>
  <c r="I35" i="4"/>
  <c r="I35" i="5"/>
  <c r="I35" i="6"/>
  <c r="I35" i="7"/>
  <c r="I35" i="8"/>
  <c r="I35" i="9"/>
  <c r="I35" i="1"/>
  <c r="O19" i="3" l="1"/>
  <c r="O20" i="3"/>
  <c r="O14" i="3"/>
  <c r="O15" i="3"/>
  <c r="F5" i="9"/>
  <c r="G29" i="3"/>
  <c r="G28" i="3"/>
  <c r="F7" i="2"/>
  <c r="G35" i="3"/>
  <c r="G27" i="3"/>
  <c r="G34" i="3"/>
  <c r="G26" i="3"/>
  <c r="G33" i="3"/>
  <c r="G25" i="3"/>
  <c r="G32" i="3"/>
  <c r="G31" i="3"/>
  <c r="G30" i="3"/>
  <c r="D88" i="2"/>
  <c r="D87" i="2"/>
  <c r="D86" i="2"/>
  <c r="D85" i="2"/>
  <c r="D84" i="2"/>
  <c r="D83" i="2"/>
  <c r="D82" i="2"/>
  <c r="B83" i="2" s="1"/>
  <c r="D80" i="2"/>
  <c r="D79" i="2"/>
  <c r="D78" i="2"/>
  <c r="D77" i="2"/>
  <c r="D76" i="2"/>
  <c r="D75" i="2"/>
  <c r="D74" i="2"/>
  <c r="D72" i="2"/>
  <c r="D71" i="2"/>
  <c r="D70" i="2"/>
  <c r="D69" i="2"/>
  <c r="D68" i="2"/>
  <c r="D67" i="2"/>
  <c r="D66" i="2"/>
  <c r="D64" i="2"/>
  <c r="D63" i="2"/>
  <c r="D62" i="2"/>
  <c r="D61" i="2"/>
  <c r="D60" i="2"/>
  <c r="D59" i="2"/>
  <c r="D58" i="2"/>
  <c r="D56" i="2"/>
  <c r="D55" i="2"/>
  <c r="D54" i="2"/>
  <c r="D53" i="2"/>
  <c r="D52" i="2"/>
  <c r="D51" i="2"/>
  <c r="D50" i="2"/>
  <c r="D48" i="2"/>
  <c r="D47" i="2"/>
  <c r="D46" i="2"/>
  <c r="D45" i="2"/>
  <c r="D44" i="2"/>
  <c r="D43" i="2"/>
  <c r="D42" i="2"/>
  <c r="D41" i="2"/>
  <c r="B42" i="2" s="1"/>
  <c r="D39" i="2"/>
  <c r="D38" i="2"/>
  <c r="D37" i="2"/>
  <c r="D36" i="2"/>
  <c r="D35" i="2"/>
  <c r="D88" i="11"/>
  <c r="D87" i="11"/>
  <c r="D86" i="11"/>
  <c r="D85" i="11"/>
  <c r="D84" i="11"/>
  <c r="D83" i="11"/>
  <c r="D82" i="11"/>
  <c r="D80" i="11"/>
  <c r="D79" i="11"/>
  <c r="D78" i="11"/>
  <c r="D77" i="11"/>
  <c r="D76" i="11"/>
  <c r="D75" i="11"/>
  <c r="D74" i="11"/>
  <c r="D72" i="11"/>
  <c r="D71" i="11"/>
  <c r="D70" i="11"/>
  <c r="D69" i="11"/>
  <c r="D68" i="11"/>
  <c r="D67" i="11"/>
  <c r="D66" i="11"/>
  <c r="D64" i="11"/>
  <c r="D63" i="11"/>
  <c r="D62" i="11"/>
  <c r="D61" i="11"/>
  <c r="D60" i="11"/>
  <c r="D59" i="11"/>
  <c r="D58" i="11"/>
  <c r="D56" i="11"/>
  <c r="D55" i="11"/>
  <c r="D54" i="11"/>
  <c r="D53" i="11"/>
  <c r="D52" i="11"/>
  <c r="D51" i="11"/>
  <c r="D50" i="11"/>
  <c r="D48" i="11"/>
  <c r="D47" i="11"/>
  <c r="D46" i="11"/>
  <c r="D45" i="11"/>
  <c r="D44" i="11"/>
  <c r="D43" i="11"/>
  <c r="D42" i="11"/>
  <c r="D41" i="11"/>
  <c r="D39" i="11"/>
  <c r="D38" i="11"/>
  <c r="D37" i="11"/>
  <c r="D36" i="11"/>
  <c r="D35" i="11"/>
  <c r="D88" i="12"/>
  <c r="D87" i="12"/>
  <c r="D86" i="12"/>
  <c r="D85" i="12"/>
  <c r="D84" i="12"/>
  <c r="D83" i="12"/>
  <c r="D82" i="12"/>
  <c r="D80" i="12"/>
  <c r="D79" i="12"/>
  <c r="D78" i="12"/>
  <c r="D77" i="12"/>
  <c r="D76" i="12"/>
  <c r="D75" i="12"/>
  <c r="D74" i="12"/>
  <c r="D72" i="12"/>
  <c r="D71" i="12"/>
  <c r="D70" i="12"/>
  <c r="D69" i="12"/>
  <c r="D68" i="12"/>
  <c r="D67" i="12"/>
  <c r="D66" i="12"/>
  <c r="D64" i="12"/>
  <c r="D63" i="12"/>
  <c r="D62" i="12"/>
  <c r="D61" i="12"/>
  <c r="D60" i="12"/>
  <c r="D59" i="12"/>
  <c r="D58" i="12"/>
  <c r="D56" i="12"/>
  <c r="D55" i="12"/>
  <c r="D54" i="12"/>
  <c r="D53" i="12"/>
  <c r="D52" i="12"/>
  <c r="D51" i="12"/>
  <c r="D50" i="12"/>
  <c r="D48" i="12"/>
  <c r="D47" i="12"/>
  <c r="D46" i="12"/>
  <c r="D45" i="12"/>
  <c r="D44" i="12"/>
  <c r="D43" i="12"/>
  <c r="D42" i="12"/>
  <c r="D41" i="12"/>
  <c r="D39" i="12"/>
  <c r="D38" i="12"/>
  <c r="D37" i="12"/>
  <c r="D36" i="12"/>
  <c r="D35" i="12"/>
  <c r="D88" i="13"/>
  <c r="D87" i="13"/>
  <c r="D86" i="13"/>
  <c r="D85" i="13"/>
  <c r="D84" i="13"/>
  <c r="D83" i="13"/>
  <c r="D82" i="13"/>
  <c r="D80" i="13"/>
  <c r="D79" i="13"/>
  <c r="D78" i="13"/>
  <c r="D77" i="13"/>
  <c r="D76" i="13"/>
  <c r="D75" i="13"/>
  <c r="D74" i="13"/>
  <c r="D72" i="13"/>
  <c r="D71" i="13"/>
  <c r="D70" i="13"/>
  <c r="D69" i="13"/>
  <c r="D68" i="13"/>
  <c r="D67" i="13"/>
  <c r="D66" i="13"/>
  <c r="D64" i="13"/>
  <c r="D63" i="13"/>
  <c r="D62" i="13"/>
  <c r="D61" i="13"/>
  <c r="D60" i="13"/>
  <c r="D59" i="13"/>
  <c r="D58" i="13"/>
  <c r="D56" i="13"/>
  <c r="D55" i="13"/>
  <c r="D54" i="13"/>
  <c r="D53" i="13"/>
  <c r="D52" i="13"/>
  <c r="D51" i="13"/>
  <c r="D50" i="13"/>
  <c r="D48" i="13"/>
  <c r="D47" i="13"/>
  <c r="D46" i="13"/>
  <c r="D45" i="13"/>
  <c r="D44" i="13"/>
  <c r="D43" i="13"/>
  <c r="D42" i="13"/>
  <c r="D41" i="13"/>
  <c r="D39" i="13"/>
  <c r="D38" i="13"/>
  <c r="D37" i="13"/>
  <c r="D36" i="13"/>
  <c r="D35" i="13"/>
  <c r="D88" i="14"/>
  <c r="D87" i="14"/>
  <c r="D86" i="14"/>
  <c r="D85" i="14"/>
  <c r="D84" i="14"/>
  <c r="D83" i="14"/>
  <c r="D82" i="14"/>
  <c r="D80" i="14"/>
  <c r="D79" i="14"/>
  <c r="D78" i="14"/>
  <c r="D77" i="14"/>
  <c r="D76" i="14"/>
  <c r="D75" i="14"/>
  <c r="D74" i="14"/>
  <c r="D72" i="14"/>
  <c r="D71" i="14"/>
  <c r="D70" i="14"/>
  <c r="D69" i="14"/>
  <c r="D68" i="14"/>
  <c r="D67" i="14"/>
  <c r="D66" i="14"/>
  <c r="D64" i="14"/>
  <c r="D63" i="14"/>
  <c r="D62" i="14"/>
  <c r="D61" i="14"/>
  <c r="D60" i="14"/>
  <c r="D59" i="14"/>
  <c r="D58" i="14"/>
  <c r="D56" i="14"/>
  <c r="D55" i="14"/>
  <c r="D54" i="14"/>
  <c r="D53" i="14"/>
  <c r="D52" i="14"/>
  <c r="D51" i="14"/>
  <c r="D50" i="14"/>
  <c r="D48" i="14"/>
  <c r="D47" i="14"/>
  <c r="D46" i="14"/>
  <c r="D45" i="14"/>
  <c r="D44" i="14"/>
  <c r="D43" i="14"/>
  <c r="D42" i="14"/>
  <c r="D41" i="14"/>
  <c r="D39" i="14"/>
  <c r="D38" i="14"/>
  <c r="D37" i="14"/>
  <c r="D36" i="14"/>
  <c r="D35" i="14"/>
  <c r="D88" i="4"/>
  <c r="D87" i="4"/>
  <c r="D86" i="4"/>
  <c r="D85" i="4"/>
  <c r="D84" i="4"/>
  <c r="D83" i="4"/>
  <c r="D82" i="4"/>
  <c r="D80" i="4"/>
  <c r="D79" i="4"/>
  <c r="D78" i="4"/>
  <c r="D77" i="4"/>
  <c r="D76" i="4"/>
  <c r="D75" i="4"/>
  <c r="D74" i="4"/>
  <c r="D72" i="4"/>
  <c r="D71" i="4"/>
  <c r="D70" i="4"/>
  <c r="D69" i="4"/>
  <c r="D68" i="4"/>
  <c r="D67" i="4"/>
  <c r="D66" i="4"/>
  <c r="D64" i="4"/>
  <c r="D63" i="4"/>
  <c r="D62" i="4"/>
  <c r="D61" i="4"/>
  <c r="D60" i="4"/>
  <c r="D59" i="4"/>
  <c r="D58" i="4"/>
  <c r="D56" i="4"/>
  <c r="D55" i="4"/>
  <c r="D54" i="4"/>
  <c r="D53" i="4"/>
  <c r="D52" i="4"/>
  <c r="D51" i="4"/>
  <c r="D50" i="4"/>
  <c r="D48" i="4"/>
  <c r="D47" i="4"/>
  <c r="D46" i="4"/>
  <c r="D45" i="4"/>
  <c r="D44" i="4"/>
  <c r="D43" i="4"/>
  <c r="D42" i="4"/>
  <c r="D41" i="4"/>
  <c r="D39" i="4"/>
  <c r="D38" i="4"/>
  <c r="D37" i="4"/>
  <c r="D36" i="4"/>
  <c r="D35" i="4"/>
  <c r="D88" i="5"/>
  <c r="D87" i="5"/>
  <c r="D86" i="5"/>
  <c r="D85" i="5"/>
  <c r="D84" i="5"/>
  <c r="D83" i="5"/>
  <c r="D82" i="5"/>
  <c r="D80" i="5"/>
  <c r="D79" i="5"/>
  <c r="D78" i="5"/>
  <c r="D77" i="5"/>
  <c r="D76" i="5"/>
  <c r="D75" i="5"/>
  <c r="D74" i="5"/>
  <c r="D72" i="5"/>
  <c r="D71" i="5"/>
  <c r="D70" i="5"/>
  <c r="D69" i="5"/>
  <c r="D68" i="5"/>
  <c r="D67" i="5"/>
  <c r="D66" i="5"/>
  <c r="D64" i="5"/>
  <c r="D63" i="5"/>
  <c r="D62" i="5"/>
  <c r="D61" i="5"/>
  <c r="D60" i="5"/>
  <c r="D59" i="5"/>
  <c r="D58" i="5"/>
  <c r="D56" i="5"/>
  <c r="D55" i="5"/>
  <c r="D54" i="5"/>
  <c r="D53" i="5"/>
  <c r="D52" i="5"/>
  <c r="D51" i="5"/>
  <c r="D50" i="5"/>
  <c r="D48" i="5"/>
  <c r="D47" i="5"/>
  <c r="D46" i="5"/>
  <c r="D45" i="5"/>
  <c r="D44" i="5"/>
  <c r="D43" i="5"/>
  <c r="D42" i="5"/>
  <c r="D41" i="5"/>
  <c r="D39" i="5"/>
  <c r="D38" i="5"/>
  <c r="D37" i="5"/>
  <c r="D36" i="5"/>
  <c r="D35" i="5"/>
  <c r="D88" i="6"/>
  <c r="D87" i="6"/>
  <c r="D86" i="6"/>
  <c r="D85" i="6"/>
  <c r="D84" i="6"/>
  <c r="D83" i="6"/>
  <c r="D82" i="6"/>
  <c r="D80" i="6"/>
  <c r="D79" i="6"/>
  <c r="D78" i="6"/>
  <c r="D77" i="6"/>
  <c r="D76" i="6"/>
  <c r="D75" i="6"/>
  <c r="D74" i="6"/>
  <c r="D72" i="6"/>
  <c r="D71" i="6"/>
  <c r="D70" i="6"/>
  <c r="D69" i="6"/>
  <c r="D68" i="6"/>
  <c r="D67" i="6"/>
  <c r="D66" i="6"/>
  <c r="D64" i="6"/>
  <c r="D63" i="6"/>
  <c r="D62" i="6"/>
  <c r="D61" i="6"/>
  <c r="D60" i="6"/>
  <c r="D59" i="6"/>
  <c r="D58" i="6"/>
  <c r="D56" i="6"/>
  <c r="D55" i="6"/>
  <c r="D54" i="6"/>
  <c r="D53" i="6"/>
  <c r="D52" i="6"/>
  <c r="D51" i="6"/>
  <c r="D50" i="6"/>
  <c r="D48" i="6"/>
  <c r="D47" i="6"/>
  <c r="D46" i="6"/>
  <c r="D45" i="6"/>
  <c r="D44" i="6"/>
  <c r="D43" i="6"/>
  <c r="D42" i="6"/>
  <c r="D41" i="6"/>
  <c r="D39" i="6"/>
  <c r="D38" i="6"/>
  <c r="D37" i="6"/>
  <c r="D36" i="6"/>
  <c r="D35" i="6"/>
  <c r="D88" i="7"/>
  <c r="D87" i="7"/>
  <c r="D86" i="7"/>
  <c r="D85" i="7"/>
  <c r="D84" i="7"/>
  <c r="D83" i="7"/>
  <c r="D82" i="7"/>
  <c r="D80" i="7"/>
  <c r="D79" i="7"/>
  <c r="D78" i="7"/>
  <c r="D77" i="7"/>
  <c r="D76" i="7"/>
  <c r="D75" i="7"/>
  <c r="D74" i="7"/>
  <c r="D72" i="7"/>
  <c r="D71" i="7"/>
  <c r="D70" i="7"/>
  <c r="D69" i="7"/>
  <c r="D68" i="7"/>
  <c r="D67" i="7"/>
  <c r="D66" i="7"/>
  <c r="D64" i="7"/>
  <c r="D63" i="7"/>
  <c r="D62" i="7"/>
  <c r="D61" i="7"/>
  <c r="D60" i="7"/>
  <c r="D59" i="7"/>
  <c r="D58" i="7"/>
  <c r="D56" i="7"/>
  <c r="D55" i="7"/>
  <c r="D54" i="7"/>
  <c r="D53" i="7"/>
  <c r="D52" i="7"/>
  <c r="D51" i="7"/>
  <c r="D50" i="7"/>
  <c r="D48" i="7"/>
  <c r="D47" i="7"/>
  <c r="D46" i="7"/>
  <c r="D45" i="7"/>
  <c r="D44" i="7"/>
  <c r="D43" i="7"/>
  <c r="D42" i="7"/>
  <c r="D41" i="7"/>
  <c r="D39" i="7"/>
  <c r="D38" i="7"/>
  <c r="D37" i="7"/>
  <c r="D36" i="7"/>
  <c r="D35" i="7"/>
  <c r="D88" i="8"/>
  <c r="D87" i="8"/>
  <c r="D86" i="8"/>
  <c r="D85" i="8"/>
  <c r="D84" i="8"/>
  <c r="D83" i="8"/>
  <c r="D82" i="8"/>
  <c r="D80" i="8"/>
  <c r="D79" i="8"/>
  <c r="D78" i="8"/>
  <c r="D77" i="8"/>
  <c r="D76" i="8"/>
  <c r="D75" i="8"/>
  <c r="D74" i="8"/>
  <c r="D72" i="8"/>
  <c r="D71" i="8"/>
  <c r="D70" i="8"/>
  <c r="D69" i="8"/>
  <c r="D68" i="8"/>
  <c r="D67" i="8"/>
  <c r="D66" i="8"/>
  <c r="D64" i="8"/>
  <c r="D63" i="8"/>
  <c r="D62" i="8"/>
  <c r="D61" i="8"/>
  <c r="D60" i="8"/>
  <c r="D59" i="8"/>
  <c r="D58" i="8"/>
  <c r="D56" i="8"/>
  <c r="D55" i="8"/>
  <c r="D54" i="8"/>
  <c r="D53" i="8"/>
  <c r="D52" i="8"/>
  <c r="D51" i="8"/>
  <c r="D50" i="8"/>
  <c r="D48" i="8"/>
  <c r="D47" i="8"/>
  <c r="D46" i="8"/>
  <c r="D45" i="8"/>
  <c r="D44" i="8"/>
  <c r="D43" i="8"/>
  <c r="D42" i="8"/>
  <c r="D41" i="8"/>
  <c r="D39" i="8"/>
  <c r="D38" i="8"/>
  <c r="D37" i="8"/>
  <c r="D36" i="8"/>
  <c r="D35" i="8"/>
  <c r="D88" i="9"/>
  <c r="D87" i="9"/>
  <c r="D86" i="9"/>
  <c r="D85" i="9"/>
  <c r="D84" i="9"/>
  <c r="D83" i="9"/>
  <c r="D82" i="9"/>
  <c r="D80" i="9"/>
  <c r="D79" i="9"/>
  <c r="D78" i="9"/>
  <c r="D77" i="9"/>
  <c r="D76" i="9"/>
  <c r="D75" i="9"/>
  <c r="D74" i="9"/>
  <c r="D72" i="9"/>
  <c r="D71" i="9"/>
  <c r="D70" i="9"/>
  <c r="D69" i="9"/>
  <c r="D68" i="9"/>
  <c r="D67" i="9"/>
  <c r="D66" i="9"/>
  <c r="D64" i="9"/>
  <c r="D63" i="9"/>
  <c r="D62" i="9"/>
  <c r="D61" i="9"/>
  <c r="D60" i="9"/>
  <c r="D59" i="9"/>
  <c r="D58" i="9"/>
  <c r="D56" i="9"/>
  <c r="D55" i="9"/>
  <c r="D54" i="9"/>
  <c r="D53" i="9"/>
  <c r="D52" i="9"/>
  <c r="D51" i="9"/>
  <c r="D50" i="9"/>
  <c r="D48" i="9"/>
  <c r="D47" i="9"/>
  <c r="D46" i="9"/>
  <c r="D45" i="9"/>
  <c r="D44" i="9"/>
  <c r="D43" i="9"/>
  <c r="D42" i="9"/>
  <c r="D41" i="9"/>
  <c r="D39" i="9"/>
  <c r="D38" i="9"/>
  <c r="D37" i="9"/>
  <c r="D36" i="9"/>
  <c r="D35" i="9"/>
  <c r="D88" i="10"/>
  <c r="D77" i="3" s="1"/>
  <c r="D87" i="10"/>
  <c r="D76" i="3" s="1"/>
  <c r="D86" i="10"/>
  <c r="D75" i="3" s="1"/>
  <c r="D85" i="10"/>
  <c r="D74" i="3" s="1"/>
  <c r="D84" i="10"/>
  <c r="D83" i="10"/>
  <c r="D82" i="10"/>
  <c r="D80" i="10"/>
  <c r="D69" i="3" s="1"/>
  <c r="D79" i="10"/>
  <c r="D68" i="3" s="1"/>
  <c r="D78" i="10"/>
  <c r="D67" i="3" s="1"/>
  <c r="D77" i="10"/>
  <c r="D66" i="3" s="1"/>
  <c r="D76" i="10"/>
  <c r="D75" i="10"/>
  <c r="D64" i="3" s="1"/>
  <c r="D74" i="10"/>
  <c r="D72" i="10"/>
  <c r="D61" i="3" s="1"/>
  <c r="D71" i="10"/>
  <c r="D60" i="3" s="1"/>
  <c r="D70" i="10"/>
  <c r="D59" i="3" s="1"/>
  <c r="D69" i="10"/>
  <c r="D58" i="3" s="1"/>
  <c r="D68" i="10"/>
  <c r="D57" i="3" s="1"/>
  <c r="D67" i="10"/>
  <c r="D56" i="3" s="1"/>
  <c r="D66" i="10"/>
  <c r="D64" i="10"/>
  <c r="D53" i="3" s="1"/>
  <c r="D63" i="10"/>
  <c r="D52" i="3" s="1"/>
  <c r="D62" i="10"/>
  <c r="D51" i="3" s="1"/>
  <c r="D61" i="10"/>
  <c r="D50" i="3" s="1"/>
  <c r="D60" i="10"/>
  <c r="D49" i="3" s="1"/>
  <c r="D59" i="10"/>
  <c r="D48" i="3" s="1"/>
  <c r="D58" i="10"/>
  <c r="D56" i="10"/>
  <c r="D45" i="3" s="1"/>
  <c r="D55" i="10"/>
  <c r="D54" i="10"/>
  <c r="D53" i="10"/>
  <c r="D42" i="3" s="1"/>
  <c r="D52" i="10"/>
  <c r="D41" i="3" s="1"/>
  <c r="D51" i="10"/>
  <c r="D40" i="3" s="1"/>
  <c r="D50" i="10"/>
  <c r="D48" i="10"/>
  <c r="D37" i="3" s="1"/>
  <c r="D47" i="10"/>
  <c r="D36" i="3" s="1"/>
  <c r="D46" i="10"/>
  <c r="D35" i="3" s="1"/>
  <c r="D45" i="10"/>
  <c r="D44" i="10"/>
  <c r="D33" i="3" s="1"/>
  <c r="D43" i="10"/>
  <c r="D32" i="3" s="1"/>
  <c r="D42" i="10"/>
  <c r="D31" i="3" s="1"/>
  <c r="D41" i="10"/>
  <c r="D39" i="10"/>
  <c r="D28" i="3" s="1"/>
  <c r="D38" i="10"/>
  <c r="D27" i="3" s="1"/>
  <c r="D37" i="10"/>
  <c r="D36" i="10"/>
  <c r="D25" i="3" s="1"/>
  <c r="D35" i="10"/>
  <c r="D24" i="3" s="1"/>
  <c r="D88" i="1"/>
  <c r="D87" i="1"/>
  <c r="D86" i="1"/>
  <c r="D85" i="1"/>
  <c r="D84" i="1"/>
  <c r="D83" i="1"/>
  <c r="D82" i="1"/>
  <c r="D80" i="1"/>
  <c r="D79" i="1"/>
  <c r="D78" i="1"/>
  <c r="D77" i="1"/>
  <c r="D76" i="1"/>
  <c r="D75" i="1"/>
  <c r="D74" i="1"/>
  <c r="D72" i="1"/>
  <c r="D71" i="1"/>
  <c r="D70" i="1"/>
  <c r="D69" i="1"/>
  <c r="D68" i="1"/>
  <c r="D67" i="1"/>
  <c r="D66" i="1"/>
  <c r="D64" i="1"/>
  <c r="D63" i="1"/>
  <c r="D62" i="1"/>
  <c r="D61" i="1"/>
  <c r="D60" i="1"/>
  <c r="D59" i="1"/>
  <c r="D58" i="1"/>
  <c r="D56" i="1"/>
  <c r="D55" i="1"/>
  <c r="D54" i="1"/>
  <c r="D53" i="1"/>
  <c r="D52" i="1"/>
  <c r="D51" i="1"/>
  <c r="D50" i="1"/>
  <c r="D48" i="1"/>
  <c r="D47" i="1"/>
  <c r="D46" i="1"/>
  <c r="D45" i="1"/>
  <c r="D44" i="1"/>
  <c r="D43" i="1"/>
  <c r="D42" i="1"/>
  <c r="D41" i="1"/>
  <c r="D39" i="1"/>
  <c r="D38" i="1"/>
  <c r="D37" i="1"/>
  <c r="D36" i="1"/>
  <c r="D35" i="1"/>
  <c r="D34" i="3" l="1"/>
  <c r="D43" i="3"/>
  <c r="D26" i="3"/>
  <c r="D72" i="3"/>
  <c r="D65" i="3"/>
  <c r="B75" i="5"/>
  <c r="B36" i="6"/>
  <c r="B59" i="2"/>
  <c r="B51" i="2"/>
  <c r="B67" i="2"/>
  <c r="B36" i="2"/>
  <c r="B75" i="2"/>
  <c r="B75" i="10"/>
  <c r="B75" i="9"/>
  <c r="B75" i="8"/>
  <c r="B75" i="7"/>
  <c r="B75" i="4"/>
  <c r="B75" i="14"/>
  <c r="B75" i="13"/>
  <c r="B75" i="12"/>
  <c r="D44" i="3"/>
  <c r="B75" i="11"/>
  <c r="B75" i="1"/>
  <c r="B67" i="1"/>
  <c r="B67" i="10"/>
  <c r="B67" i="9"/>
  <c r="B67" i="8"/>
  <c r="B67" i="7"/>
  <c r="B67" i="6"/>
  <c r="B67" i="5"/>
  <c r="B67" i="4"/>
  <c r="B67" i="14"/>
  <c r="B67" i="13"/>
  <c r="B67" i="12"/>
  <c r="B67" i="11"/>
  <c r="B59" i="1"/>
  <c r="B59" i="10"/>
  <c r="B59" i="9"/>
  <c r="B59" i="8"/>
  <c r="B59" i="7"/>
  <c r="B59" i="4"/>
  <c r="B59" i="14"/>
  <c r="B59" i="13"/>
  <c r="B59" i="12"/>
  <c r="B59" i="11"/>
  <c r="B51" i="9"/>
  <c r="B51" i="8"/>
  <c r="B51" i="7"/>
  <c r="B51" i="6"/>
  <c r="B51" i="5"/>
  <c r="B59" i="5"/>
  <c r="B42" i="4"/>
  <c r="B51" i="14"/>
  <c r="B51" i="13"/>
  <c r="B51" i="12"/>
  <c r="B42" i="11"/>
  <c r="B51" i="11"/>
  <c r="D63" i="3"/>
  <c r="B75" i="6"/>
  <c r="B51" i="4"/>
  <c r="D47" i="3"/>
  <c r="B48" i="3" s="1"/>
  <c r="B51" i="1"/>
  <c r="B36" i="1"/>
  <c r="B36" i="10"/>
  <c r="B36" i="9"/>
  <c r="B36" i="8"/>
  <c r="B36" i="7"/>
  <c r="B59" i="6"/>
  <c r="B36" i="5"/>
  <c r="B36" i="4"/>
  <c r="B36" i="14"/>
  <c r="B36" i="13"/>
  <c r="B36" i="12"/>
  <c r="B36" i="11"/>
  <c r="B25" i="3"/>
  <c r="B42" i="1"/>
  <c r="B42" i="5"/>
  <c r="B42" i="10"/>
  <c r="B42" i="7"/>
  <c r="B42" i="13"/>
  <c r="B42" i="12"/>
  <c r="B42" i="8"/>
  <c r="B42" i="9"/>
  <c r="B42" i="14"/>
  <c r="D30" i="3"/>
  <c r="B31" i="3" s="1"/>
  <c r="B42" i="6"/>
  <c r="D39" i="3"/>
  <c r="D55" i="3"/>
  <c r="B56" i="3" s="1"/>
  <c r="B83" i="10"/>
  <c r="B83" i="9"/>
  <c r="B83" i="8"/>
  <c r="B83" i="7"/>
  <c r="B83" i="5"/>
  <c r="B83" i="1"/>
  <c r="B83" i="6"/>
  <c r="B83" i="4"/>
  <c r="B83" i="14"/>
  <c r="B83" i="13"/>
  <c r="B83" i="12"/>
  <c r="B83" i="11"/>
  <c r="D73" i="3"/>
  <c r="D71" i="3"/>
  <c r="M53" i="2"/>
  <c r="M45" i="2"/>
  <c r="M37" i="2"/>
  <c r="M29" i="2"/>
  <c r="M19" i="2"/>
  <c r="M10" i="2"/>
  <c r="M4" i="2"/>
  <c r="F6" i="12"/>
  <c r="F5" i="3" s="1"/>
  <c r="I4" i="12"/>
  <c r="F4" i="3"/>
  <c r="F6" i="3" s="1"/>
  <c r="F6" i="13"/>
  <c r="G5" i="3" s="1"/>
  <c r="I4" i="13"/>
  <c r="G4" i="3"/>
  <c r="F6" i="14"/>
  <c r="H5" i="3" s="1"/>
  <c r="I4" i="14"/>
  <c r="H4" i="3"/>
  <c r="H6" i="3" s="1"/>
  <c r="F6" i="11"/>
  <c r="E5" i="3" s="1"/>
  <c r="I4" i="11"/>
  <c r="E4" i="3"/>
  <c r="F6" i="10"/>
  <c r="D5" i="3" s="1"/>
  <c r="I4" i="10"/>
  <c r="D4" i="3"/>
  <c r="F6" i="9"/>
  <c r="N5" i="3" s="1"/>
  <c r="O5" i="3" s="1"/>
  <c r="I4" i="9"/>
  <c r="N4" i="3"/>
  <c r="O4" i="3" s="1"/>
  <c r="F6" i="8"/>
  <c r="M5" i="3" s="1"/>
  <c r="I4" i="8"/>
  <c r="M4" i="3"/>
  <c r="F6" i="7"/>
  <c r="L5" i="3" s="1"/>
  <c r="I4" i="7"/>
  <c r="L4" i="3"/>
  <c r="L6" i="3" s="1"/>
  <c r="F6" i="6"/>
  <c r="K5" i="3" s="1"/>
  <c r="I4" i="6"/>
  <c r="K4" i="3"/>
  <c r="F6" i="5"/>
  <c r="J5" i="3" s="1"/>
  <c r="I4" i="5"/>
  <c r="J4" i="3"/>
  <c r="F6" i="4"/>
  <c r="I5" i="3" s="1"/>
  <c r="I4" i="4"/>
  <c r="I4" i="3"/>
  <c r="I6" i="3" s="1"/>
  <c r="N6" i="3" l="1"/>
  <c r="B64" i="3"/>
  <c r="E6" i="3"/>
  <c r="B40" i="3"/>
  <c r="D6" i="3"/>
  <c r="G6" i="3"/>
  <c r="M6" i="3"/>
  <c r="B72" i="3"/>
  <c r="K6" i="3"/>
  <c r="J6" i="3"/>
  <c r="F6" i="1"/>
  <c r="C5" i="3" s="1"/>
  <c r="C4" i="3"/>
  <c r="C3" i="3"/>
  <c r="I4" i="1"/>
  <c r="O6" i="3" l="1"/>
  <c r="C6" i="3"/>
  <c r="C7" i="3" s="1"/>
  <c r="F7" i="1"/>
  <c r="D7" i="10" s="1"/>
  <c r="F3" i="10" s="1"/>
  <c r="F7" i="10" l="1"/>
  <c r="D7" i="11" s="1"/>
  <c r="F3" i="11" s="1"/>
  <c r="D3" i="3"/>
  <c r="D7" i="3" s="1"/>
  <c r="E3" i="3" l="1"/>
  <c r="E7" i="3" s="1"/>
  <c r="F7" i="11"/>
  <c r="D7" i="12" s="1"/>
  <c r="F3" i="12" s="1"/>
  <c r="F7" i="12" l="1"/>
  <c r="D7" i="13" s="1"/>
  <c r="F3" i="13" s="1"/>
  <c r="F3" i="3"/>
  <c r="F7" i="3" s="1"/>
  <c r="F7" i="13" l="1"/>
  <c r="D7" i="14" s="1"/>
  <c r="F3" i="14" s="1"/>
  <c r="G3" i="3"/>
  <c r="G7" i="3" s="1"/>
  <c r="H3" i="3" l="1"/>
  <c r="H7" i="3" s="1"/>
  <c r="F7" i="14"/>
  <c r="D7" i="4" s="1"/>
  <c r="F3" i="4" s="1"/>
  <c r="F7" i="4" l="1"/>
  <c r="D7" i="5" s="1"/>
  <c r="F3" i="5" s="1"/>
  <c r="I3" i="3"/>
  <c r="I7" i="3" s="1"/>
  <c r="F7" i="5" l="1"/>
  <c r="D7" i="6" s="1"/>
  <c r="F3" i="6" s="1"/>
  <c r="J3" i="3"/>
  <c r="J7" i="3" s="1"/>
  <c r="K3" i="3" l="1"/>
  <c r="K7" i="3" s="1"/>
  <c r="F7" i="6"/>
  <c r="D7" i="7" s="1"/>
  <c r="F3" i="7" s="1"/>
  <c r="F7" i="7" l="1"/>
  <c r="D7" i="8" s="1"/>
  <c r="F3" i="8" s="1"/>
  <c r="L3" i="3"/>
  <c r="L7" i="3" s="1"/>
  <c r="F7" i="8" l="1"/>
  <c r="D7" i="9" s="1"/>
  <c r="F3" i="9" s="1"/>
  <c r="M3" i="3"/>
  <c r="M7" i="3" s="1"/>
  <c r="F7" i="9" l="1"/>
  <c r="N3" i="3"/>
  <c r="N7" i="3" l="1"/>
  <c r="O7" i="3" s="1"/>
  <c r="O3" i="3"/>
</calcChain>
</file>

<file path=xl/sharedStrings.xml><?xml version="1.0" encoding="utf-8"?>
<sst xmlns="http://schemas.openxmlformats.org/spreadsheetml/2006/main" count="1288" uniqueCount="142">
  <si>
    <t>JAN</t>
  </si>
  <si>
    <t>entradas</t>
  </si>
  <si>
    <t>valor</t>
  </si>
  <si>
    <t>Saldo mensal</t>
  </si>
  <si>
    <t>salário</t>
  </si>
  <si>
    <t>data</t>
  </si>
  <si>
    <t>extra 2</t>
  </si>
  <si>
    <t>ultimo update</t>
  </si>
  <si>
    <t>Variados</t>
  </si>
  <si>
    <t>Fixos</t>
  </si>
  <si>
    <t>topico</t>
  </si>
  <si>
    <t>sub-tópico</t>
  </si>
  <si>
    <t>descrição</t>
  </si>
  <si>
    <t>Topico</t>
  </si>
  <si>
    <t>Fev</t>
  </si>
  <si>
    <t>Saldo</t>
  </si>
  <si>
    <t>MAR</t>
  </si>
  <si>
    <t>ABR</t>
  </si>
  <si>
    <t>MAI</t>
  </si>
  <si>
    <t>JUN</t>
  </si>
  <si>
    <t>JUL</t>
  </si>
  <si>
    <t>Lazer</t>
  </si>
  <si>
    <t>Cinema / Shows</t>
  </si>
  <si>
    <t>Ingresso par aProjeto Sola</t>
  </si>
  <si>
    <t>Transporte</t>
  </si>
  <si>
    <t>Multas / Documentação</t>
  </si>
  <si>
    <t>Moto pista</t>
  </si>
  <si>
    <t>Despesas</t>
  </si>
  <si>
    <t>Presentes e datas comemorativas</t>
  </si>
  <si>
    <t>Bolo de pote</t>
  </si>
  <si>
    <t>AGO</t>
  </si>
  <si>
    <t>minha mãe me mandou 100 reias</t>
  </si>
  <si>
    <t>Uber / Táxi</t>
  </si>
  <si>
    <t>moto pista</t>
  </si>
  <si>
    <t>plano internet claro</t>
  </si>
  <si>
    <t>Alimentação</t>
  </si>
  <si>
    <t>Lanches / Snacks</t>
  </si>
  <si>
    <t>Churrasco dia dos pais</t>
  </si>
  <si>
    <t>Parcla de cell</t>
  </si>
  <si>
    <t>corte de cabelo antes da festa</t>
  </si>
  <si>
    <t>Passeios / Viagens</t>
  </si>
  <si>
    <t>sitio mocidade</t>
  </si>
  <si>
    <t>senac</t>
  </si>
  <si>
    <t>Saídas com amigos</t>
  </si>
  <si>
    <t>bolo Iara</t>
  </si>
  <si>
    <t>Imprevistos</t>
  </si>
  <si>
    <t>Ajuda financeira a alguém (urgente)</t>
  </si>
  <si>
    <t>telhado</t>
  </si>
  <si>
    <t>SET</t>
  </si>
  <si>
    <t>curso</t>
  </si>
  <si>
    <t>cell, camera</t>
  </si>
  <si>
    <t>Compras online aleatórias</t>
  </si>
  <si>
    <t>cartão de memória e adaptador</t>
  </si>
  <si>
    <t>spotify</t>
  </si>
  <si>
    <t>biscoito</t>
  </si>
  <si>
    <t>fone - Marcelles e PH</t>
  </si>
  <si>
    <t>Igreja - evento</t>
  </si>
  <si>
    <t>OUT</t>
  </si>
  <si>
    <t>Gastos pessoais (roupas, acessórios)</t>
  </si>
  <si>
    <t>camera</t>
  </si>
  <si>
    <t>NOV</t>
  </si>
  <si>
    <t>DEZ</t>
  </si>
  <si>
    <t>SUB-TOTAIS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</si>
  <si>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</si>
  <si>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</si>
  <si>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</si>
  <si>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</si>
  <si>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</si>
  <si>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</si>
  <si>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</si>
  <si>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</si>
  <si>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</si>
  <si>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</si>
  <si>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</si>
  <si>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Entradas</t>
  </si>
  <si>
    <t>Saidas Variáveis</t>
  </si>
  <si>
    <t>Saidas Fixas</t>
  </si>
  <si>
    <t>Saidas Totais</t>
  </si>
  <si>
    <t>Topicos</t>
  </si>
  <si>
    <t>Sub-tópicos</t>
  </si>
  <si>
    <t xml:space="preserve">Padaria </t>
  </si>
  <si>
    <t xml:space="preserve"> Almoço fora</t>
  </si>
  <si>
    <t>Moradia</t>
  </si>
  <si>
    <t>Educação</t>
  </si>
  <si>
    <t>Saúde</t>
  </si>
  <si>
    <t>Delivery (iFood, etc)</t>
  </si>
  <si>
    <t xml:space="preserve"> Jogos / Games / Aplicativos pagos</t>
  </si>
  <si>
    <t>Compras por impulso (não essenciais)</t>
  </si>
  <si>
    <t>Doações / Contribuições</t>
  </si>
  <si>
    <t>Taxas bancárias / Pix por engano</t>
  </si>
  <si>
    <t>Manutenção da casa (lâmpada, pilha, etc)</t>
  </si>
  <si>
    <t>Ônibus / Metrô</t>
  </si>
  <si>
    <t>Estacionamento</t>
  </si>
  <si>
    <t>Manutenção (óleo, pneu, etc)</t>
  </si>
  <si>
    <t>Mensalidade de curso / escola</t>
  </si>
  <si>
    <t>Cursos online (Udemy, Alura, etc)</t>
  </si>
  <si>
    <t>Material escolar / didático</t>
  </si>
  <si>
    <t>Livros e apostilas</t>
  </si>
  <si>
    <t>Internet dedicada para estudos</t>
  </si>
  <si>
    <t xml:space="preserve">Plataformas de aprendizado </t>
  </si>
  <si>
    <t>Medicamentos</t>
  </si>
  <si>
    <t>Consultas médicas / exames</t>
  </si>
  <si>
    <t>Plano de saúde</t>
  </si>
  <si>
    <t>Óculos / lentes</t>
  </si>
  <si>
    <t>Academia / Personal trainer</t>
  </si>
  <si>
    <t>Produtos de higiene e cuidados pessoais</t>
  </si>
  <si>
    <t>Emergência médica ou odontológica</t>
  </si>
  <si>
    <t>Equipamento quebrado (celular, notebook)</t>
  </si>
  <si>
    <t>Perda de documentos / taxas</t>
  </si>
  <si>
    <t>Atrasos em contas com juros</t>
  </si>
  <si>
    <t>Conserto urgente (casa, carro, etc)</t>
  </si>
  <si>
    <t>Internet</t>
  </si>
  <si>
    <t>Planos/assinaturas</t>
  </si>
  <si>
    <t>Agua</t>
  </si>
  <si>
    <t>Luz</t>
  </si>
  <si>
    <t>Gasolina</t>
  </si>
  <si>
    <t>Dizimos</t>
  </si>
  <si>
    <t>Ofertas</t>
  </si>
  <si>
    <t>Parcelas</t>
  </si>
  <si>
    <t>Investimento</t>
  </si>
  <si>
    <t>Doces</t>
  </si>
  <si>
    <t>Acessório</t>
  </si>
  <si>
    <t xml:space="preserve">Livros </t>
  </si>
  <si>
    <t>Apostilas</t>
  </si>
  <si>
    <t xml:space="preserve">Acessórios </t>
  </si>
  <si>
    <t>MÊS</t>
  </si>
  <si>
    <t>saldo do mês anterior</t>
  </si>
  <si>
    <t>saldo</t>
  </si>
  <si>
    <t>Fotografia</t>
  </si>
  <si>
    <t>Eventos</t>
  </si>
  <si>
    <t>Data</t>
  </si>
  <si>
    <t>Descrição</t>
  </si>
  <si>
    <t>extra 3</t>
  </si>
  <si>
    <t>TOTAL</t>
  </si>
  <si>
    <t>claro</t>
  </si>
  <si>
    <t>ultima do cell</t>
  </si>
  <si>
    <t>sitio carnaval</t>
  </si>
  <si>
    <t>total</t>
  </si>
  <si>
    <t>moto</t>
  </si>
  <si>
    <t>caixa de bombom</t>
  </si>
  <si>
    <t>caixa para camera</t>
  </si>
  <si>
    <t>tripe e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</si>
</sst>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C8AD"/>
        <bgColor indexed="64"/>
      </patternFill>
    </fill>
    <fill>
      <patternFill patternType="solid">
        <fgColor rgb="FFFFE28F"/>
        <bgColor indexed="64"/>
      </patternFill>
    </fill>
    <fill>
      <patternFill patternType="solid">
        <fgColor rgb="FFADD296"/>
        <bgColor indexed="64"/>
      </patternFill>
    </fill>
    <fill>
      <patternFill patternType="solid">
        <fgColor rgb="FFB8B8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9">
    <xf numFmtId="0" fontId="0" fillId="0" borderId="0" xfId="0"/>
    <xf numFmtId="0" fontId="0" fillId="5" borderId="9" xfId="0" applyFill="1" applyBorder="1"/>
    <xf numFmtId="0" fontId="0" fillId="6" borderId="10" xfId="0" applyFill="1" applyBorder="1"/>
    <xf numFmtId="0" fontId="0" fillId="5" borderId="12" xfId="0" applyFill="1" applyBorder="1"/>
    <xf numFmtId="0" fontId="0" fillId="6" borderId="13" xfId="0" applyFill="1" applyBorder="1"/>
    <xf numFmtId="0" fontId="0" fillId="7" borderId="1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6" borderId="23" xfId="0" applyFill="1" applyBorder="1"/>
    <xf numFmtId="0" fontId="0" fillId="5" borderId="22" xfId="0" applyFill="1" applyBorder="1"/>
    <xf numFmtId="14" fontId="0" fillId="0" borderId="28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2" fillId="8" borderId="1" xfId="0" applyFont="1" applyFill="1" applyBorder="1"/>
    <xf numFmtId="14" fontId="0" fillId="3" borderId="21" xfId="0" applyNumberFormat="1" applyFill="1" applyBorder="1"/>
    <xf numFmtId="14" fontId="0" fillId="3" borderId="8" xfId="0" applyNumberFormat="1" applyFill="1" applyBorder="1"/>
    <xf numFmtId="14" fontId="0" fillId="3" borderId="11" xfId="0" applyNumberFormat="1" applyFill="1" applyBorder="1"/>
    <xf numFmtId="14" fontId="0" fillId="3" borderId="5" xfId="0" applyNumberFormat="1" applyFill="1" applyBorder="1" applyAlignment="1">
      <alignment horizontal="center"/>
    </xf>
    <xf numFmtId="14" fontId="0" fillId="3" borderId="8" xfId="0" applyNumberFormat="1" applyFill="1" applyBorder="1" applyAlignment="1">
      <alignment horizontal="center"/>
    </xf>
    <xf numFmtId="14" fontId="0" fillId="3" borderId="11" xfId="0" applyNumberFormat="1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44" fontId="0" fillId="5" borderId="15" xfId="1" applyFont="1" applyFill="1" applyBorder="1" applyAlignment="1">
      <alignment horizontal="center"/>
    </xf>
    <xf numFmtId="44" fontId="0" fillId="5" borderId="31" xfId="1" applyFont="1" applyFill="1" applyBorder="1" applyAlignment="1">
      <alignment horizontal="center"/>
    </xf>
    <xf numFmtId="44" fontId="0" fillId="5" borderId="17" xfId="1" applyFont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44" fontId="0" fillId="5" borderId="32" xfId="1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44" fontId="0" fillId="6" borderId="7" xfId="1" applyFont="1" applyFill="1" applyBorder="1" applyAlignment="1">
      <alignment horizontal="center"/>
    </xf>
    <xf numFmtId="44" fontId="0" fillId="6" borderId="10" xfId="1" applyFont="1" applyFill="1" applyBorder="1" applyAlignment="1">
      <alignment horizontal="center"/>
    </xf>
    <xf numFmtId="44" fontId="0" fillId="6" borderId="13" xfId="1" applyFont="1" applyFill="1" applyBorder="1" applyAlignment="1">
      <alignment horizontal="center"/>
    </xf>
    <xf numFmtId="44" fontId="0" fillId="12" borderId="27" xfId="1" applyFont="1" applyFill="1" applyBorder="1" applyAlignment="1">
      <alignment horizontal="center"/>
    </xf>
    <xf numFmtId="44" fontId="0" fillId="13" borderId="25" xfId="1" applyFont="1" applyFill="1" applyBorder="1" applyAlignment="1">
      <alignment horizontal="center"/>
    </xf>
    <xf numFmtId="44" fontId="0" fillId="14" borderId="34" xfId="1" applyFont="1" applyFill="1" applyBorder="1" applyAlignment="1">
      <alignment horizontal="center"/>
    </xf>
    <xf numFmtId="44" fontId="0" fillId="15" borderId="26" xfId="1" applyFont="1" applyFill="1" applyBorder="1" applyAlignment="1">
      <alignment horizontal="center"/>
    </xf>
    <xf numFmtId="0" fontId="0" fillId="0" borderId="0" xfId="0" applyAlignment="1">
      <alignment horizontal="left"/>
    </xf>
    <xf numFmtId="44" fontId="0" fillId="14" borderId="22" xfId="1" applyFont="1" applyFill="1" applyBorder="1" applyAlignment="1">
      <alignment horizontal="center"/>
    </xf>
    <xf numFmtId="44" fontId="0" fillId="14" borderId="35" xfId="1" applyFont="1" applyFill="1" applyBorder="1" applyAlignment="1">
      <alignment horizontal="center"/>
    </xf>
    <xf numFmtId="44" fontId="0" fillId="13" borderId="36" xfId="1" applyFont="1" applyFill="1" applyBorder="1" applyAlignment="1">
      <alignment horizontal="center"/>
    </xf>
    <xf numFmtId="44" fontId="0" fillId="12" borderId="36" xfId="1" applyFont="1" applyFill="1" applyBorder="1" applyAlignment="1">
      <alignment horizontal="center"/>
    </xf>
    <xf numFmtId="44" fontId="0" fillId="11" borderId="36" xfId="1" applyFont="1" applyFill="1" applyBorder="1" applyAlignment="1">
      <alignment horizontal="center"/>
    </xf>
    <xf numFmtId="0" fontId="0" fillId="10" borderId="24" xfId="0" applyFill="1" applyBorder="1" applyAlignment="1">
      <alignment horizontal="left"/>
    </xf>
    <xf numFmtId="0" fontId="0" fillId="10" borderId="25" xfId="0" applyFill="1" applyBorder="1" applyAlignment="1">
      <alignment horizontal="left"/>
    </xf>
    <xf numFmtId="44" fontId="0" fillId="0" borderId="0" xfId="1" applyFont="1" applyAlignment="1">
      <alignment horizontal="center"/>
    </xf>
    <xf numFmtId="44" fontId="0" fillId="16" borderId="33" xfId="1" applyFont="1" applyFill="1" applyBorder="1" applyAlignment="1">
      <alignment horizontal="center"/>
    </xf>
    <xf numFmtId="44" fontId="0" fillId="16" borderId="18" xfId="1" applyFont="1" applyFill="1" applyBorder="1" applyAlignment="1">
      <alignment horizontal="center"/>
    </xf>
    <xf numFmtId="44" fontId="0" fillId="16" borderId="37" xfId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0" fillId="3" borderId="0" xfId="0" applyFill="1"/>
    <xf numFmtId="0" fontId="0" fillId="6" borderId="0" xfId="0" applyFill="1"/>
    <xf numFmtId="0" fontId="0" fillId="17" borderId="0" xfId="0" applyFill="1"/>
    <xf numFmtId="0" fontId="0" fillId="17" borderId="0" xfId="0" applyFill="1" applyAlignment="1">
      <alignment horizontal="left" vertical="center" indent="1"/>
    </xf>
    <xf numFmtId="44" fontId="0" fillId="6" borderId="23" xfId="1" applyFont="1" applyFill="1" applyBorder="1"/>
    <xf numFmtId="44" fontId="0" fillId="6" borderId="10" xfId="1" applyFont="1" applyFill="1" applyBorder="1"/>
    <xf numFmtId="44" fontId="0" fillId="6" borderId="13" xfId="1" applyFont="1" applyFill="1" applyBorder="1"/>
    <xf numFmtId="44" fontId="0" fillId="0" borderId="0" xfId="1" applyFont="1"/>
    <xf numFmtId="44" fontId="0" fillId="10" borderId="0" xfId="1" applyFont="1" applyFill="1"/>
    <xf numFmtId="44" fontId="0" fillId="18" borderId="0" xfId="1" applyFont="1" applyFill="1"/>
    <xf numFmtId="0" fontId="0" fillId="3" borderId="5" xfId="0" applyFill="1" applyBorder="1" applyAlignment="1">
      <alignment horizontal="left" vertical="center" indent="1"/>
    </xf>
    <xf numFmtId="44" fontId="0" fillId="10" borderId="7" xfId="1" applyFont="1" applyFill="1" applyBorder="1"/>
    <xf numFmtId="0" fontId="0" fillId="3" borderId="8" xfId="0" applyFill="1" applyBorder="1" applyAlignment="1">
      <alignment horizontal="left" vertical="center" indent="1"/>
    </xf>
    <xf numFmtId="44" fontId="0" fillId="10" borderId="10" xfId="1" applyFont="1" applyFill="1" applyBorder="1"/>
    <xf numFmtId="0" fontId="0" fillId="3" borderId="11" xfId="0" applyFill="1" applyBorder="1"/>
    <xf numFmtId="44" fontId="0" fillId="10" borderId="13" xfId="1" applyFont="1" applyFill="1" applyBorder="1"/>
    <xf numFmtId="0" fontId="0" fillId="6" borderId="24" xfId="0" applyFill="1" applyBorder="1"/>
    <xf numFmtId="44" fontId="0" fillId="18" borderId="26" xfId="1" applyFont="1" applyFill="1" applyBorder="1"/>
    <xf numFmtId="0" fontId="0" fillId="3" borderId="38" xfId="0" applyFill="1" applyBorder="1"/>
    <xf numFmtId="44" fontId="0" fillId="10" borderId="39" xfId="1" applyFont="1" applyFill="1" applyBorder="1"/>
    <xf numFmtId="0" fontId="0" fillId="3" borderId="11" xfId="0" applyFill="1" applyBorder="1" applyAlignment="1">
      <alignment horizontal="left" vertical="center" indent="1"/>
    </xf>
    <xf numFmtId="0" fontId="0" fillId="3" borderId="8" xfId="0" applyFill="1" applyBorder="1"/>
    <xf numFmtId="0" fontId="0" fillId="19" borderId="5" xfId="0" applyFill="1" applyBorder="1"/>
    <xf numFmtId="0" fontId="0" fillId="19" borderId="8" xfId="0" applyFill="1" applyBorder="1"/>
    <xf numFmtId="0" fontId="0" fillId="19" borderId="11" xfId="0" applyFill="1" applyBorder="1"/>
    <xf numFmtId="44" fontId="0" fillId="0" borderId="40" xfId="1" applyFont="1" applyFill="1" applyBorder="1"/>
    <xf numFmtId="0" fontId="0" fillId="11" borderId="0" xfId="0" applyFill="1" applyAlignment="1"/>
    <xf numFmtId="0" fontId="0" fillId="7" borderId="42" xfId="0" applyFill="1" applyBorder="1" applyAlignment="1"/>
    <xf numFmtId="0" fontId="0" fillId="5" borderId="43" xfId="0" applyFill="1" applyBorder="1" applyAlignment="1"/>
    <xf numFmtId="0" fontId="0" fillId="0" borderId="0" xfId="0" applyFill="1" applyBorder="1" applyAlignment="1"/>
    <xf numFmtId="0" fontId="0" fillId="0" borderId="41" xfId="0" applyFill="1" applyBorder="1" applyAlignment="1"/>
    <xf numFmtId="0" fontId="0" fillId="10" borderId="9" xfId="0" applyFill="1" applyBorder="1"/>
    <xf numFmtId="0" fontId="0" fillId="10" borderId="12" xfId="0" applyFill="1" applyBorder="1"/>
    <xf numFmtId="0" fontId="0" fillId="3" borderId="21" xfId="0" applyFill="1" applyBorder="1"/>
    <xf numFmtId="0" fontId="0" fillId="10" borderId="22" xfId="0" applyFill="1" applyBorder="1"/>
    <xf numFmtId="0" fontId="0" fillId="3" borderId="33" xfId="0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164" fontId="0" fillId="18" borderId="22" xfId="0" applyNumberFormat="1" applyFill="1" applyBorder="1"/>
    <xf numFmtId="164" fontId="0" fillId="18" borderId="9" xfId="0" applyNumberFormat="1" applyFill="1" applyBorder="1"/>
    <xf numFmtId="164" fontId="0" fillId="18" borderId="12" xfId="0" applyNumberFormat="1" applyFill="1" applyBorder="1"/>
    <xf numFmtId="44" fontId="0" fillId="9" borderId="25" xfId="1" applyFont="1" applyFill="1" applyBorder="1" applyAlignment="1">
      <alignment horizontal="center"/>
    </xf>
    <xf numFmtId="0" fontId="0" fillId="10" borderId="28" xfId="0" applyFill="1" applyBorder="1" applyAlignment="1">
      <alignment horizontal="left"/>
    </xf>
    <xf numFmtId="44" fontId="0" fillId="9" borderId="44" xfId="1" applyFont="1" applyFill="1" applyBorder="1" applyAlignment="1">
      <alignment horizontal="center"/>
    </xf>
    <xf numFmtId="44" fontId="0" fillId="9" borderId="45" xfId="1" applyFont="1" applyFill="1" applyBorder="1" applyAlignment="1">
      <alignment horizontal="center"/>
    </xf>
    <xf numFmtId="44" fontId="0" fillId="15" borderId="36" xfId="1" applyFont="1" applyFill="1" applyBorder="1" applyAlignment="1">
      <alignment horizontal="center"/>
    </xf>
    <xf numFmtId="44" fontId="0" fillId="14" borderId="7" xfId="1" applyFont="1" applyFill="1" applyBorder="1" applyAlignment="1">
      <alignment horizontal="center"/>
    </xf>
    <xf numFmtId="44" fontId="0" fillId="13" borderId="10" xfId="1" applyFont="1" applyFill="1" applyBorder="1" applyAlignment="1">
      <alignment horizontal="center"/>
    </xf>
    <xf numFmtId="44" fontId="0" fillId="12" borderId="10" xfId="1" applyFont="1" applyFill="1" applyBorder="1" applyAlignment="1">
      <alignment horizontal="center"/>
    </xf>
    <xf numFmtId="44" fontId="0" fillId="11" borderId="10" xfId="1" applyFont="1" applyFill="1" applyBorder="1" applyAlignment="1">
      <alignment horizontal="center"/>
    </xf>
    <xf numFmtId="44" fontId="0" fillId="15" borderId="10" xfId="1" applyFont="1" applyFill="1" applyBorder="1" applyAlignment="1">
      <alignment horizontal="center"/>
    </xf>
    <xf numFmtId="44" fontId="0" fillId="18" borderId="26" xfId="1" quotePrefix="1" applyFont="1" applyFill="1" applyBorder="1"/>
    <xf numFmtId="0" fontId="0" fillId="3" borderId="5" xfId="0" applyFill="1" applyBorder="1" applyAlignment="1">
      <alignment horizontal="left"/>
    </xf>
    <xf numFmtId="44" fontId="0" fillId="20" borderId="6" xfId="1" applyFont="1" applyFill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0" fillId="0" borderId="7" xfId="1" applyFont="1" applyBorder="1" applyAlignment="1">
      <alignment horizontal="center"/>
    </xf>
    <xf numFmtId="0" fontId="0" fillId="3" borderId="8" xfId="0" applyFill="1" applyBorder="1" applyAlignment="1">
      <alignment horizontal="left"/>
    </xf>
    <xf numFmtId="44" fontId="0" fillId="20" borderId="9" xfId="1" applyFont="1" applyFill="1" applyBorder="1" applyAlignment="1">
      <alignment horizontal="center"/>
    </xf>
    <xf numFmtId="44" fontId="0" fillId="0" borderId="9" xfId="1" applyFont="1" applyBorder="1" applyAlignment="1">
      <alignment horizontal="center"/>
    </xf>
    <xf numFmtId="44" fontId="0" fillId="0" borderId="10" xfId="1" applyFont="1" applyBorder="1" applyAlignment="1">
      <alignment horizontal="center"/>
    </xf>
    <xf numFmtId="0" fontId="0" fillId="3" borderId="11" xfId="0" applyFill="1" applyBorder="1" applyAlignment="1">
      <alignment horizontal="left"/>
    </xf>
    <xf numFmtId="44" fontId="0" fillId="20" borderId="12" xfId="1" applyFont="1" applyFill="1" applyBorder="1" applyAlignment="1">
      <alignment horizontal="center"/>
    </xf>
    <xf numFmtId="44" fontId="0" fillId="0" borderId="12" xfId="1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44" fontId="0" fillId="21" borderId="7" xfId="1" applyFont="1" applyFill="1" applyBorder="1" applyAlignment="1">
      <alignment horizontal="center"/>
    </xf>
    <xf numFmtId="44" fontId="0" fillId="21" borderId="10" xfId="1" applyFont="1" applyFill="1" applyBorder="1" applyAlignment="1">
      <alignment horizontal="center"/>
    </xf>
    <xf numFmtId="44" fontId="0" fillId="21" borderId="13" xfId="1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63838"/>
      <color rgb="FFB8B8B8"/>
      <color rgb="FFADD296"/>
      <color rgb="FFFFE28F"/>
      <color rgb="FFF9C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7378025375286588E-2"/>
          <c:y val="0.10213397479649082"/>
          <c:w val="0.74829998028902522"/>
          <c:h val="0.8158800419503587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rgbClr val="F63838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Anual!$F$25:$F$35</c:f>
              <c:strCache>
                <c:ptCount val="10"/>
                <c:pt idx="0">
                  <c:v>Internet</c:v>
                </c:pt>
                <c:pt idx="1">
                  <c:v>Planos/assinaturas</c:v>
                </c:pt>
                <c:pt idx="2">
                  <c:v>Agua</c:v>
                </c:pt>
                <c:pt idx="3">
                  <c:v>Luz</c:v>
                </c:pt>
                <c:pt idx="4">
                  <c:v>Gasolina</c:v>
                </c:pt>
                <c:pt idx="5">
                  <c:v>Dizimos</c:v>
                </c:pt>
                <c:pt idx="6">
                  <c:v>Ofertas</c:v>
                </c:pt>
                <c:pt idx="7">
                  <c:v>Parcelas</c:v>
                </c:pt>
                <c:pt idx="8">
                  <c:v>Saúde</c:v>
                </c:pt>
                <c:pt idx="9">
                  <c:v>Investimento</c:v>
                </c:pt>
              </c:strCache>
            </c:strRef>
          </c:cat>
          <c:val>
            <c:numRef>
              <c:f>Anual!$G$25:$G$35</c:f>
              <c:numCache>
                <c:formatCode>_("R$"* #,##0.00_);_("R$"* \(#,##0.00\);_("R$"* "-"??_);_(@_)</c:formatCode>
                <c:ptCount val="11"/>
                <c:pt idx="0">
                  <c:v>30</c:v>
                </c:pt>
                <c:pt idx="1">
                  <c:v>13.6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624.5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745489817725348"/>
          <c:y val="0.10349220089560686"/>
          <c:w val="0.15751216374633012"/>
          <c:h val="0.762423465565747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Anual!$B$3</c:f>
              <c:strCache>
                <c:ptCount val="1"/>
                <c:pt idx="0">
                  <c:v>Entradas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Anual!$C$2:$N$2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Anual!$C$3:$N$3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654</c:v>
                </c:pt>
                <c:pt idx="7">
                  <c:v>785.52</c:v>
                </c:pt>
                <c:pt idx="8">
                  <c:v>797.89</c:v>
                </c:pt>
                <c:pt idx="9">
                  <c:v>336.7</c:v>
                </c:pt>
                <c:pt idx="10">
                  <c:v>272.89999999999998</c:v>
                </c:pt>
                <c:pt idx="11">
                  <c:v>766.59</c:v>
                </c:pt>
              </c:numCache>
            </c:numRef>
          </c:val>
        </c:ser>
        <c:ser>
          <c:idx val="3"/>
          <c:order val="1"/>
          <c:tx>
            <c:strRef>
              <c:f>Anual!$B$6</c:f>
              <c:strCache>
                <c:ptCount val="1"/>
                <c:pt idx="0">
                  <c:v>Saidas Totais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Anual!$C$2:$N$2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Anual!$C$6:$N$6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528</c:v>
                </c:pt>
                <c:pt idx="7">
                  <c:v>647.15</c:v>
                </c:pt>
                <c:pt idx="8">
                  <c:v>461.19</c:v>
                </c:pt>
                <c:pt idx="9">
                  <c:v>63.8</c:v>
                </c:pt>
                <c:pt idx="10">
                  <c:v>322.89999999999998</c:v>
                </c:pt>
                <c:pt idx="11">
                  <c:v>566.76</c:v>
                </c:pt>
              </c:numCache>
            </c:numRef>
          </c:val>
        </c:ser>
        <c:ser>
          <c:idx val="4"/>
          <c:order val="2"/>
          <c:tx>
            <c:strRef>
              <c:f>Anual!$B$7</c:f>
              <c:strCache>
                <c:ptCount val="1"/>
                <c:pt idx="0">
                  <c:v>Saldo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Anual!$C$2:$N$2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Anual!$C$7:$N$7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126</c:v>
                </c:pt>
                <c:pt idx="7">
                  <c:v>138.37</c:v>
                </c:pt>
                <c:pt idx="8">
                  <c:v>336.7</c:v>
                </c:pt>
                <c:pt idx="9">
                  <c:v>272.89999999999998</c:v>
                </c:pt>
                <c:pt idx="10">
                  <c:v>-50</c:v>
                </c:pt>
                <c:pt idx="11">
                  <c:v>199.83000000000004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677167680"/>
        <c:axId val="-1677174208"/>
      </c:barChart>
      <c:catAx>
        <c:axId val="-167716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677174208"/>
        <c:crosses val="autoZero"/>
        <c:auto val="1"/>
        <c:lblAlgn val="ctr"/>
        <c:lblOffset val="100"/>
        <c:noMultiLvlLbl val="0"/>
      </c:catAx>
      <c:valAx>
        <c:axId val="-16771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677167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theme="7" tint="0.39997558519241921"/>
  </sheetPr>
  <sheetViews>
    <sheetView zoomScale="75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FF00"/>
  </sheetPr>
  <sheetViews>
    <sheetView zoomScale="75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39300" cy="6007100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39300" cy="6007100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1:P88"/>
  <sheetViews>
    <sheetView showGridLines="0" topLeftCell="A22" zoomScale="70" zoomScaleNormal="70" workbookViewId="0">
      <selection activeCell="C36" sqref="C36"/>
    </sheetView>
  </sheetViews>
  <sheetFormatPr defaultRowHeight="15" x14ac:dyDescent="0.25"/>
  <cols>
    <col min="1" max="1" width="3" customWidth="1"/>
    <col min="2" max="2" width="12.140625" bestFit="1" customWidth="1"/>
    <col min="3" max="3" width="36.28515625" customWidth="1"/>
    <col min="4" max="4" width="10.42578125" bestFit="1" customWidth="1"/>
    <col min="5" max="5" width="9.28515625" bestFit="1" customWidth="1"/>
    <col min="6" max="6" width="13.7109375" bestFit="1" customWidth="1"/>
    <col min="7" max="7" width="2.5703125" customWidth="1"/>
    <col min="8" max="8" width="17.85546875" bestFit="1" customWidth="1"/>
    <col min="9" max="9" width="13.7109375" bestFit="1" customWidth="1"/>
    <col min="10" max="10" width="11.85546875" customWidth="1"/>
    <col min="11" max="11" width="14" bestFit="1" customWidth="1"/>
    <col min="13" max="16" width="12" customWidth="1"/>
  </cols>
  <sheetData>
    <row r="1" spans="2:16" ht="15.75" thickBot="1" x14ac:dyDescent="0.3"/>
    <row r="2" spans="2:16" ht="15.75" thickBot="1" x14ac:dyDescent="0.3">
      <c r="B2" s="11" t="s">
        <v>0</v>
      </c>
      <c r="C2" s="32" t="s">
        <v>1</v>
      </c>
      <c r="D2" s="31" t="s">
        <v>2</v>
      </c>
      <c r="F2" s="5" t="s">
        <v>3</v>
      </c>
      <c r="H2" s="128"/>
      <c r="I2" s="128"/>
      <c r="J2" s="128"/>
      <c r="K2" s="128"/>
    </row>
    <row r="3" spans="2:16" ht="15.75" thickBot="1" x14ac:dyDescent="0.3">
      <c r="B3" s="10" t="s">
        <v>4</v>
      </c>
      <c r="C3" s="29"/>
      <c r="D3" s="30"/>
      <c r="F3" s="38">
        <f>SUM(D3,D5,D6,D7,D4)</f>
        <v>0</v>
      </c>
      <c r="I3" s="11" t="s">
        <v>5</v>
      </c>
    </row>
    <row r="4" spans="2:16" ht="15.75" thickBot="1" x14ac:dyDescent="0.3">
      <c r="B4" s="6" t="s">
        <v>128</v>
      </c>
      <c r="C4" s="7"/>
      <c r="D4" s="26">
        <f>SUM(P10:P25)</f>
        <v>0</v>
      </c>
      <c r="F4" s="37">
        <f>SUM(F11:F32)</f>
        <v>0</v>
      </c>
      <c r="I4" s="15">
        <f ca="1">TODAY()</f>
        <v>46002</v>
      </c>
    </row>
    <row r="5" spans="2:16" ht="15.75" thickBot="1" x14ac:dyDescent="0.3">
      <c r="B5" s="24" t="s">
        <v>6</v>
      </c>
      <c r="C5" s="25"/>
      <c r="D5" s="27"/>
      <c r="F5" s="98">
        <f>D4</f>
        <v>0</v>
      </c>
      <c r="I5" s="17" t="s">
        <v>7</v>
      </c>
    </row>
    <row r="6" spans="2:16" ht="15.75" thickBot="1" x14ac:dyDescent="0.3">
      <c r="B6" s="24" t="s">
        <v>132</v>
      </c>
      <c r="C6" s="25"/>
      <c r="D6" s="27"/>
      <c r="F6" s="36">
        <f>SUM(K11:K22)</f>
        <v>0</v>
      </c>
      <c r="I6" s="14">
        <v>45847</v>
      </c>
    </row>
    <row r="7" spans="2:16" ht="15.75" thickBot="1" x14ac:dyDescent="0.3">
      <c r="B7" s="8"/>
      <c r="C7" s="9"/>
      <c r="D7" s="28"/>
      <c r="F7" s="39">
        <f>F3-F4-F6</f>
        <v>0</v>
      </c>
    </row>
    <row r="8" spans="2:16" ht="15.75" thickBot="1" x14ac:dyDescent="0.3"/>
    <row r="9" spans="2:16" ht="15.75" thickBot="1" x14ac:dyDescent="0.3">
      <c r="B9" s="124" t="s">
        <v>8</v>
      </c>
      <c r="C9" s="125"/>
      <c r="D9" s="125"/>
      <c r="E9" s="125"/>
      <c r="F9" s="126"/>
      <c r="H9" s="127" t="s">
        <v>9</v>
      </c>
      <c r="I9" s="127"/>
      <c r="J9" s="127"/>
      <c r="K9" s="127"/>
      <c r="M9" s="91" t="s">
        <v>129</v>
      </c>
      <c r="N9" s="92" t="s">
        <v>130</v>
      </c>
      <c r="O9" s="93" t="s">
        <v>131</v>
      </c>
      <c r="P9" s="94" t="s">
        <v>74</v>
      </c>
    </row>
    <row r="10" spans="2:16" ht="15.75" thickBot="1" x14ac:dyDescent="0.3">
      <c r="B10" s="5" t="s">
        <v>5</v>
      </c>
      <c r="C10" s="5" t="s">
        <v>10</v>
      </c>
      <c r="D10" s="5" t="s">
        <v>11</v>
      </c>
      <c r="E10" s="5" t="s">
        <v>12</v>
      </c>
      <c r="F10" s="5" t="s">
        <v>2</v>
      </c>
      <c r="H10" s="5" t="s">
        <v>5</v>
      </c>
      <c r="I10" s="5" t="s">
        <v>13</v>
      </c>
      <c r="J10" s="5" t="s">
        <v>11</v>
      </c>
      <c r="K10" s="5" t="s">
        <v>2</v>
      </c>
      <c r="M10" s="89"/>
      <c r="N10" s="95"/>
      <c r="O10" s="90"/>
      <c r="P10" s="60"/>
    </row>
    <row r="11" spans="2:16" x14ac:dyDescent="0.25">
      <c r="B11" s="21"/>
      <c r="C11" s="16"/>
      <c r="D11" s="16"/>
      <c r="E11" s="16"/>
      <c r="F11" s="33"/>
      <c r="H11" s="18"/>
      <c r="I11" s="13"/>
      <c r="J11" s="13"/>
      <c r="K11" s="60"/>
      <c r="M11" s="77"/>
      <c r="N11" s="96"/>
      <c r="O11" s="87"/>
      <c r="P11" s="61"/>
    </row>
    <row r="12" spans="2:16" x14ac:dyDescent="0.25">
      <c r="B12" s="22"/>
      <c r="C12" s="7"/>
      <c r="D12" s="7"/>
      <c r="E12" s="7"/>
      <c r="F12" s="34"/>
      <c r="H12" s="19"/>
      <c r="I12" s="13"/>
      <c r="J12" s="1"/>
      <c r="K12" s="61"/>
      <c r="M12" s="77"/>
      <c r="N12" s="96"/>
      <c r="O12" s="87"/>
      <c r="P12" s="61"/>
    </row>
    <row r="13" spans="2:16" x14ac:dyDescent="0.25">
      <c r="B13" s="22"/>
      <c r="C13" s="7"/>
      <c r="D13" s="7"/>
      <c r="E13" s="7"/>
      <c r="F13" s="34"/>
      <c r="H13" s="19"/>
      <c r="I13" s="13"/>
      <c r="J13" s="1"/>
      <c r="K13" s="61"/>
      <c r="M13" s="77"/>
      <c r="N13" s="96"/>
      <c r="O13" s="87"/>
      <c r="P13" s="61"/>
    </row>
    <row r="14" spans="2:16" x14ac:dyDescent="0.25">
      <c r="B14" s="22"/>
      <c r="C14" s="7"/>
      <c r="D14" s="7"/>
      <c r="E14" s="7"/>
      <c r="F14" s="34"/>
      <c r="H14" s="19"/>
      <c r="I14" s="13"/>
      <c r="J14" s="1"/>
      <c r="K14" s="61"/>
      <c r="M14" s="77"/>
      <c r="N14" s="96"/>
      <c r="O14" s="87"/>
      <c r="P14" s="61"/>
    </row>
    <row r="15" spans="2:16" x14ac:dyDescent="0.25">
      <c r="B15" s="22"/>
      <c r="C15" s="7"/>
      <c r="D15" s="7"/>
      <c r="E15" s="7"/>
      <c r="F15" s="34"/>
      <c r="H15" s="19"/>
      <c r="I15" s="13"/>
      <c r="J15" s="1"/>
      <c r="K15" s="61"/>
      <c r="M15" s="77"/>
      <c r="N15" s="96"/>
      <c r="O15" s="87"/>
      <c r="P15" s="61"/>
    </row>
    <row r="16" spans="2:16" x14ac:dyDescent="0.25">
      <c r="B16" s="22"/>
      <c r="C16" s="7"/>
      <c r="D16" s="7"/>
      <c r="E16" s="7"/>
      <c r="F16" s="34"/>
      <c r="H16" s="19"/>
      <c r="I16" s="13"/>
      <c r="J16" s="1"/>
      <c r="K16" s="61"/>
      <c r="M16" s="77"/>
      <c r="N16" s="96"/>
      <c r="O16" s="87"/>
      <c r="P16" s="61"/>
    </row>
    <row r="17" spans="2:16" x14ac:dyDescent="0.25">
      <c r="B17" s="22"/>
      <c r="C17" s="7"/>
      <c r="D17" s="7"/>
      <c r="E17" s="7"/>
      <c r="F17" s="34"/>
      <c r="H17" s="19"/>
      <c r="I17" s="13"/>
      <c r="J17" s="1"/>
      <c r="K17" s="61"/>
      <c r="M17" s="77"/>
      <c r="N17" s="96"/>
      <c r="O17" s="87"/>
      <c r="P17" s="61"/>
    </row>
    <row r="18" spans="2:16" x14ac:dyDescent="0.25">
      <c r="B18" s="22"/>
      <c r="C18" s="7"/>
      <c r="D18" s="7"/>
      <c r="E18" s="7"/>
      <c r="F18" s="34"/>
      <c r="H18" s="19"/>
      <c r="I18" s="13"/>
      <c r="J18" s="1"/>
      <c r="K18" s="61"/>
      <c r="M18" s="77"/>
      <c r="N18" s="96"/>
      <c r="O18" s="87"/>
      <c r="P18" s="61"/>
    </row>
    <row r="19" spans="2:16" x14ac:dyDescent="0.25">
      <c r="B19" s="22"/>
      <c r="C19" s="7"/>
      <c r="D19" s="7"/>
      <c r="E19" s="7"/>
      <c r="F19" s="34"/>
      <c r="H19" s="19"/>
      <c r="I19" s="13"/>
      <c r="J19" s="1"/>
      <c r="K19" s="61"/>
      <c r="M19" s="77"/>
      <c r="N19" s="96"/>
      <c r="O19" s="87"/>
      <c r="P19" s="61"/>
    </row>
    <row r="20" spans="2:16" x14ac:dyDescent="0.25">
      <c r="B20" s="22"/>
      <c r="C20" s="7"/>
      <c r="D20" s="7"/>
      <c r="E20" s="7"/>
      <c r="F20" s="34"/>
      <c r="H20" s="19"/>
      <c r="I20" s="13"/>
      <c r="J20" s="1"/>
      <c r="K20" s="61"/>
      <c r="M20" s="77"/>
      <c r="N20" s="96"/>
      <c r="O20" s="87"/>
      <c r="P20" s="61"/>
    </row>
    <row r="21" spans="2:16" x14ac:dyDescent="0.25">
      <c r="B21" s="22"/>
      <c r="C21" s="7"/>
      <c r="D21" s="7"/>
      <c r="E21" s="7"/>
      <c r="F21" s="34"/>
      <c r="H21" s="19"/>
      <c r="I21" s="13"/>
      <c r="J21" s="1"/>
      <c r="K21" s="61"/>
      <c r="M21" s="77"/>
      <c r="N21" s="96"/>
      <c r="O21" s="87"/>
      <c r="P21" s="61"/>
    </row>
    <row r="22" spans="2:16" ht="15.75" thickBot="1" x14ac:dyDescent="0.3">
      <c r="B22" s="22"/>
      <c r="C22" s="7"/>
      <c r="D22" s="7"/>
      <c r="E22" s="7"/>
      <c r="F22" s="34"/>
      <c r="H22" s="20"/>
      <c r="I22" s="3"/>
      <c r="J22" s="3"/>
      <c r="K22" s="62"/>
      <c r="M22" s="77"/>
      <c r="N22" s="96"/>
      <c r="O22" s="87"/>
      <c r="P22" s="61"/>
    </row>
    <row r="23" spans="2:16" x14ac:dyDescent="0.25">
      <c r="B23" s="22"/>
      <c r="C23" s="7"/>
      <c r="D23" s="7"/>
      <c r="E23" s="7"/>
      <c r="F23" s="34"/>
      <c r="M23" s="77"/>
      <c r="N23" s="96"/>
      <c r="O23" s="87"/>
      <c r="P23" s="61"/>
    </row>
    <row r="24" spans="2:16" x14ac:dyDescent="0.25">
      <c r="B24" s="22"/>
      <c r="C24" s="7"/>
      <c r="D24" s="7"/>
      <c r="E24" s="7"/>
      <c r="F24" s="34"/>
      <c r="M24" s="77"/>
      <c r="N24" s="96"/>
      <c r="O24" s="87"/>
      <c r="P24" s="61"/>
    </row>
    <row r="25" spans="2:16" ht="15.75" thickBot="1" x14ac:dyDescent="0.3">
      <c r="B25" s="22"/>
      <c r="C25" s="7"/>
      <c r="D25" s="7"/>
      <c r="E25" s="7"/>
      <c r="F25" s="34"/>
      <c r="M25" s="70"/>
      <c r="N25" s="97"/>
      <c r="O25" s="88"/>
      <c r="P25" s="62"/>
    </row>
    <row r="26" spans="2:16" x14ac:dyDescent="0.25">
      <c r="B26" s="22"/>
      <c r="C26" s="7"/>
      <c r="D26" s="7"/>
      <c r="E26" s="7"/>
      <c r="F26" s="34"/>
    </row>
    <row r="27" spans="2:16" x14ac:dyDescent="0.25">
      <c r="B27" s="22"/>
      <c r="C27" s="7"/>
      <c r="D27" s="7"/>
      <c r="E27" s="7"/>
      <c r="F27" s="34"/>
    </row>
    <row r="28" spans="2:16" x14ac:dyDescent="0.25">
      <c r="B28" s="22"/>
      <c r="C28" s="7"/>
      <c r="D28" s="7"/>
      <c r="E28" s="7"/>
      <c r="F28" s="34"/>
    </row>
    <row r="29" spans="2:16" x14ac:dyDescent="0.25">
      <c r="B29" s="22"/>
      <c r="C29" s="7"/>
      <c r="D29" s="7"/>
      <c r="E29" s="7"/>
      <c r="F29" s="34"/>
    </row>
    <row r="30" spans="2:16" x14ac:dyDescent="0.25">
      <c r="B30" s="22"/>
      <c r="C30" s="7"/>
      <c r="D30" s="7"/>
      <c r="E30" s="7"/>
      <c r="F30" s="34"/>
    </row>
    <row r="31" spans="2:16" x14ac:dyDescent="0.25">
      <c r="B31" s="22"/>
      <c r="C31" s="7"/>
      <c r="D31" s="7"/>
      <c r="E31" s="7"/>
      <c r="F31" s="34"/>
    </row>
    <row r="32" spans="2:16" ht="15.75" thickBot="1" x14ac:dyDescent="0.3">
      <c r="B32" s="23"/>
      <c r="C32" s="9"/>
      <c r="D32" s="9"/>
      <c r="E32" s="9"/>
      <c r="F32" s="35"/>
    </row>
    <row r="34" spans="2:9" ht="15.75" thickBot="1" x14ac:dyDescent="0.3"/>
    <row r="35" spans="2:9" x14ac:dyDescent="0.25">
      <c r="B35" s="72" t="s">
        <v>35</v>
      </c>
      <c r="C35" s="66" t="s">
        <v>120</v>
      </c>
      <c r="D35" s="67">
        <f>SUMIF($D$11:$D$32,C35,$F$11:$F$32)</f>
        <v>0</v>
      </c>
      <c r="H35" s="78" t="s">
        <v>111</v>
      </c>
      <c r="I35" s="67">
        <f>SUMIF($I$11:$I$22,H35,$K$11:$K$22)</f>
        <v>0</v>
      </c>
    </row>
    <row r="36" spans="2:9" ht="15.75" thickBot="1" x14ac:dyDescent="0.3">
      <c r="B36" s="73">
        <f>SUM(D35:D39)</f>
        <v>0</v>
      </c>
      <c r="C36" s="68" t="s">
        <v>80</v>
      </c>
      <c r="D36" s="69">
        <f t="shared" ref="D36:D88" si="0">SUMIF($D$11:$D$32,C36,$F$11:$F$32)</f>
        <v>0</v>
      </c>
      <c r="H36" s="79" t="s">
        <v>112</v>
      </c>
      <c r="I36" s="69">
        <f t="shared" ref="I36:I45" si="1">SUMIF($I$11:$I$22,H36,$K$11:$K$22)</f>
        <v>0</v>
      </c>
    </row>
    <row r="37" spans="2:9" x14ac:dyDescent="0.25">
      <c r="C37" s="68" t="s">
        <v>81</v>
      </c>
      <c r="D37" s="69">
        <f t="shared" si="0"/>
        <v>0</v>
      </c>
      <c r="H37" s="79" t="s">
        <v>113</v>
      </c>
      <c r="I37" s="69">
        <f t="shared" si="1"/>
        <v>0</v>
      </c>
    </row>
    <row r="38" spans="2:9" x14ac:dyDescent="0.25">
      <c r="C38" s="68" t="s">
        <v>36</v>
      </c>
      <c r="D38" s="69">
        <f t="shared" si="0"/>
        <v>0</v>
      </c>
      <c r="H38" s="79" t="s">
        <v>114</v>
      </c>
      <c r="I38" s="69">
        <f t="shared" si="1"/>
        <v>0</v>
      </c>
    </row>
    <row r="39" spans="2:9" ht="15.75" thickBot="1" x14ac:dyDescent="0.3">
      <c r="C39" s="76"/>
      <c r="D39" s="71">
        <f t="shared" si="0"/>
        <v>0</v>
      </c>
      <c r="H39" s="79" t="s">
        <v>115</v>
      </c>
      <c r="I39" s="69">
        <f t="shared" si="1"/>
        <v>0</v>
      </c>
    </row>
    <row r="40" spans="2:9" ht="15.75" thickBot="1" x14ac:dyDescent="0.3">
      <c r="C40" s="54"/>
      <c r="D40" s="63"/>
      <c r="H40" s="79" t="s">
        <v>116</v>
      </c>
      <c r="I40" s="69">
        <f t="shared" si="1"/>
        <v>0</v>
      </c>
    </row>
    <row r="41" spans="2:9" x14ac:dyDescent="0.25">
      <c r="B41" s="72" t="s">
        <v>21</v>
      </c>
      <c r="C41" s="66" t="s">
        <v>85</v>
      </c>
      <c r="D41" s="67">
        <f t="shared" si="0"/>
        <v>0</v>
      </c>
      <c r="H41" s="79" t="s">
        <v>117</v>
      </c>
      <c r="I41" s="69">
        <f t="shared" si="1"/>
        <v>0</v>
      </c>
    </row>
    <row r="42" spans="2:9" ht="15.75" thickBot="1" x14ac:dyDescent="0.3">
      <c r="B42" s="73">
        <f>SUBTOTAL(9,D41:D48)</f>
        <v>0</v>
      </c>
      <c r="C42" s="68" t="s">
        <v>22</v>
      </c>
      <c r="D42" s="69">
        <f t="shared" si="0"/>
        <v>0</v>
      </c>
      <c r="H42" s="79" t="s">
        <v>118</v>
      </c>
      <c r="I42" s="69">
        <f t="shared" si="1"/>
        <v>0</v>
      </c>
    </row>
    <row r="43" spans="2:9" x14ac:dyDescent="0.25">
      <c r="C43" s="68" t="s">
        <v>40</v>
      </c>
      <c r="D43" s="69">
        <f t="shared" si="0"/>
        <v>0</v>
      </c>
      <c r="H43" s="79" t="s">
        <v>84</v>
      </c>
      <c r="I43" s="69">
        <f t="shared" si="1"/>
        <v>0</v>
      </c>
    </row>
    <row r="44" spans="2:9" x14ac:dyDescent="0.25">
      <c r="C44" s="68" t="s">
        <v>87</v>
      </c>
      <c r="D44" s="69">
        <f t="shared" si="0"/>
        <v>0</v>
      </c>
      <c r="H44" s="79" t="s">
        <v>119</v>
      </c>
      <c r="I44" s="69">
        <f t="shared" si="1"/>
        <v>0</v>
      </c>
    </row>
    <row r="45" spans="2:9" ht="15.75" thickBot="1" x14ac:dyDescent="0.3">
      <c r="C45" s="68" t="s">
        <v>86</v>
      </c>
      <c r="D45" s="69">
        <f t="shared" si="0"/>
        <v>0</v>
      </c>
      <c r="H45" s="80"/>
      <c r="I45" s="71">
        <f t="shared" si="1"/>
        <v>0</v>
      </c>
    </row>
    <row r="46" spans="2:9" x14ac:dyDescent="0.25">
      <c r="C46" s="68" t="s">
        <v>43</v>
      </c>
      <c r="D46" s="69">
        <f t="shared" si="0"/>
        <v>0</v>
      </c>
    </row>
    <row r="47" spans="2:9" x14ac:dyDescent="0.25">
      <c r="C47" s="74"/>
      <c r="D47" s="75">
        <f t="shared" si="0"/>
        <v>0</v>
      </c>
    </row>
    <row r="48" spans="2:9" ht="15.75" thickBot="1" x14ac:dyDescent="0.3">
      <c r="C48" s="76"/>
      <c r="D48" s="71">
        <f t="shared" si="0"/>
        <v>0</v>
      </c>
    </row>
    <row r="49" spans="2:4" ht="15.75" thickBot="1" x14ac:dyDescent="0.3">
      <c r="D49" s="63"/>
    </row>
    <row r="50" spans="2:4" x14ac:dyDescent="0.25">
      <c r="B50" s="72" t="s">
        <v>27</v>
      </c>
      <c r="C50" s="66" t="s">
        <v>28</v>
      </c>
      <c r="D50" s="67">
        <f t="shared" si="0"/>
        <v>0</v>
      </c>
    </row>
    <row r="51" spans="2:4" ht="15.75" thickBot="1" x14ac:dyDescent="0.3">
      <c r="B51" s="73">
        <f>SUM(D50:D56)</f>
        <v>0</v>
      </c>
      <c r="C51" s="68" t="s">
        <v>88</v>
      </c>
      <c r="D51" s="69">
        <f t="shared" si="0"/>
        <v>0</v>
      </c>
    </row>
    <row r="52" spans="2:4" x14ac:dyDescent="0.25">
      <c r="C52" s="68" t="s">
        <v>89</v>
      </c>
      <c r="D52" s="69">
        <f t="shared" si="0"/>
        <v>0</v>
      </c>
    </row>
    <row r="53" spans="2:4" x14ac:dyDescent="0.25">
      <c r="C53" s="68" t="s">
        <v>51</v>
      </c>
      <c r="D53" s="69">
        <f t="shared" si="0"/>
        <v>0</v>
      </c>
    </row>
    <row r="54" spans="2:4" x14ac:dyDescent="0.25">
      <c r="C54" s="68" t="s">
        <v>90</v>
      </c>
      <c r="D54" s="69">
        <f t="shared" si="0"/>
        <v>0</v>
      </c>
    </row>
    <row r="55" spans="2:4" x14ac:dyDescent="0.25">
      <c r="C55" s="68" t="s">
        <v>58</v>
      </c>
      <c r="D55" s="69">
        <f t="shared" si="0"/>
        <v>0</v>
      </c>
    </row>
    <row r="56" spans="2:4" ht="15.75" thickBot="1" x14ac:dyDescent="0.3">
      <c r="C56" s="70"/>
      <c r="D56" s="71">
        <f t="shared" si="0"/>
        <v>0</v>
      </c>
    </row>
    <row r="57" spans="2:4" ht="15.75" thickBot="1" x14ac:dyDescent="0.3">
      <c r="D57" s="63"/>
    </row>
    <row r="58" spans="2:4" x14ac:dyDescent="0.25">
      <c r="B58" s="72" t="s">
        <v>24</v>
      </c>
      <c r="C58" s="66" t="s">
        <v>121</v>
      </c>
      <c r="D58" s="67">
        <f t="shared" si="0"/>
        <v>0</v>
      </c>
    </row>
    <row r="59" spans="2:4" ht="15.75" thickBot="1" x14ac:dyDescent="0.3">
      <c r="B59" s="73">
        <f>SUM(D58:D64)</f>
        <v>0</v>
      </c>
      <c r="C59" s="68" t="s">
        <v>32</v>
      </c>
      <c r="D59" s="69">
        <f t="shared" si="0"/>
        <v>0</v>
      </c>
    </row>
    <row r="60" spans="2:4" x14ac:dyDescent="0.25">
      <c r="C60" s="68" t="s">
        <v>91</v>
      </c>
      <c r="D60" s="69">
        <f t="shared" si="0"/>
        <v>0</v>
      </c>
    </row>
    <row r="61" spans="2:4" x14ac:dyDescent="0.25">
      <c r="C61" s="68" t="s">
        <v>92</v>
      </c>
      <c r="D61" s="69">
        <f t="shared" si="0"/>
        <v>0</v>
      </c>
    </row>
    <row r="62" spans="2:4" x14ac:dyDescent="0.25">
      <c r="C62" s="68" t="s">
        <v>93</v>
      </c>
      <c r="D62" s="69">
        <f t="shared" si="0"/>
        <v>0</v>
      </c>
    </row>
    <row r="63" spans="2:4" x14ac:dyDescent="0.25">
      <c r="C63" s="68" t="s">
        <v>25</v>
      </c>
      <c r="D63" s="69">
        <f t="shared" si="0"/>
        <v>0</v>
      </c>
    </row>
    <row r="64" spans="2:4" ht="15.75" thickBot="1" x14ac:dyDescent="0.3">
      <c r="C64" s="70"/>
      <c r="D64" s="71">
        <f t="shared" si="0"/>
        <v>0</v>
      </c>
    </row>
    <row r="65" spans="2:4" ht="15.75" thickBot="1" x14ac:dyDescent="0.3">
      <c r="D65" s="63"/>
    </row>
    <row r="66" spans="2:4" x14ac:dyDescent="0.25">
      <c r="B66" s="72" t="s">
        <v>83</v>
      </c>
      <c r="C66" s="66" t="s">
        <v>122</v>
      </c>
      <c r="D66" s="67">
        <f t="shared" si="0"/>
        <v>0</v>
      </c>
    </row>
    <row r="67" spans="2:4" ht="15.75" thickBot="1" x14ac:dyDescent="0.3">
      <c r="B67" s="73">
        <f>SUM(D66:D72)</f>
        <v>0</v>
      </c>
      <c r="C67" s="68" t="s">
        <v>95</v>
      </c>
      <c r="D67" s="69">
        <f t="shared" si="0"/>
        <v>0</v>
      </c>
    </row>
    <row r="68" spans="2:4" x14ac:dyDescent="0.25">
      <c r="C68" s="68" t="s">
        <v>96</v>
      </c>
      <c r="D68" s="69">
        <f t="shared" si="0"/>
        <v>0</v>
      </c>
    </row>
    <row r="69" spans="2:4" x14ac:dyDescent="0.25">
      <c r="C69" s="68" t="s">
        <v>123</v>
      </c>
      <c r="D69" s="69">
        <f t="shared" si="0"/>
        <v>0</v>
      </c>
    </row>
    <row r="70" spans="2:4" x14ac:dyDescent="0.25">
      <c r="C70" s="68" t="s">
        <v>98</v>
      </c>
      <c r="D70" s="69">
        <f t="shared" si="0"/>
        <v>0</v>
      </c>
    </row>
    <row r="71" spans="2:4" x14ac:dyDescent="0.25">
      <c r="C71" s="68" t="s">
        <v>99</v>
      </c>
      <c r="D71" s="69">
        <f t="shared" si="0"/>
        <v>0</v>
      </c>
    </row>
    <row r="72" spans="2:4" ht="15.75" thickBot="1" x14ac:dyDescent="0.3">
      <c r="C72" s="70"/>
      <c r="D72" s="71">
        <f t="shared" si="0"/>
        <v>0</v>
      </c>
    </row>
    <row r="73" spans="2:4" ht="15.75" thickBot="1" x14ac:dyDescent="0.3">
      <c r="D73" s="63"/>
    </row>
    <row r="74" spans="2:4" x14ac:dyDescent="0.25">
      <c r="B74" s="72" t="s">
        <v>84</v>
      </c>
      <c r="C74" s="66" t="s">
        <v>100</v>
      </c>
      <c r="D74" s="67">
        <f t="shared" si="0"/>
        <v>0</v>
      </c>
    </row>
    <row r="75" spans="2:4" ht="15.75" thickBot="1" x14ac:dyDescent="0.3">
      <c r="B75" s="73">
        <f>SUM(D74:D80)</f>
        <v>0</v>
      </c>
      <c r="C75" s="68" t="s">
        <v>101</v>
      </c>
      <c r="D75" s="69">
        <f t="shared" si="0"/>
        <v>0</v>
      </c>
    </row>
    <row r="76" spans="2:4" x14ac:dyDescent="0.25">
      <c r="C76" s="68" t="s">
        <v>103</v>
      </c>
      <c r="D76" s="69">
        <f t="shared" si="0"/>
        <v>0</v>
      </c>
    </row>
    <row r="77" spans="2:4" x14ac:dyDescent="0.25">
      <c r="C77" s="68" t="s">
        <v>105</v>
      </c>
      <c r="D77" s="69">
        <f t="shared" si="0"/>
        <v>0</v>
      </c>
    </row>
    <row r="78" spans="2:4" x14ac:dyDescent="0.25">
      <c r="C78" s="68"/>
      <c r="D78" s="69">
        <f t="shared" si="0"/>
        <v>0</v>
      </c>
    </row>
    <row r="79" spans="2:4" x14ac:dyDescent="0.25">
      <c r="C79" s="68"/>
      <c r="D79" s="69">
        <f t="shared" si="0"/>
        <v>0</v>
      </c>
    </row>
    <row r="80" spans="2:4" ht="15.75" thickBot="1" x14ac:dyDescent="0.3">
      <c r="C80" s="70"/>
      <c r="D80" s="71">
        <f t="shared" si="0"/>
        <v>0</v>
      </c>
    </row>
    <row r="81" spans="2:4" ht="15.75" thickBot="1" x14ac:dyDescent="0.3">
      <c r="D81" s="63"/>
    </row>
    <row r="82" spans="2:4" x14ac:dyDescent="0.25">
      <c r="B82" s="72" t="s">
        <v>45</v>
      </c>
      <c r="C82" s="66" t="s">
        <v>106</v>
      </c>
      <c r="D82" s="67">
        <f t="shared" si="0"/>
        <v>0</v>
      </c>
    </row>
    <row r="83" spans="2:4" ht="15.75" thickBot="1" x14ac:dyDescent="0.3">
      <c r="B83" s="73">
        <f>SUM(D82:D88)</f>
        <v>0</v>
      </c>
      <c r="C83" s="68" t="s">
        <v>107</v>
      </c>
      <c r="D83" s="69">
        <f>SUMIF($D$11:$D$32,C83,$F$11:$F$32)</f>
        <v>0</v>
      </c>
    </row>
    <row r="84" spans="2:4" x14ac:dyDescent="0.25">
      <c r="C84" s="68" t="s">
        <v>108</v>
      </c>
      <c r="D84" s="69">
        <f t="shared" si="0"/>
        <v>0</v>
      </c>
    </row>
    <row r="85" spans="2:4" x14ac:dyDescent="0.25">
      <c r="C85" s="68" t="s">
        <v>109</v>
      </c>
      <c r="D85" s="69">
        <f t="shared" si="0"/>
        <v>0</v>
      </c>
    </row>
    <row r="86" spans="2:4" x14ac:dyDescent="0.25">
      <c r="C86" s="68" t="s">
        <v>110</v>
      </c>
      <c r="D86" s="69">
        <f t="shared" si="0"/>
        <v>0</v>
      </c>
    </row>
    <row r="87" spans="2:4" x14ac:dyDescent="0.25">
      <c r="C87" s="68" t="s">
        <v>46</v>
      </c>
      <c r="D87" s="69">
        <f t="shared" si="0"/>
        <v>0</v>
      </c>
    </row>
    <row r="88" spans="2:4" ht="15.75" thickBot="1" x14ac:dyDescent="0.3">
      <c r="C88" s="70"/>
      <c r="D88" s="71">
        <f t="shared" si="0"/>
        <v>0</v>
      </c>
    </row>
  </sheetData>
  <mergeCells count="3">
    <mergeCell ref="B9:F9"/>
    <mergeCell ref="H9:K9"/>
    <mergeCell ref="H2:K2"/>
  </mergeCells>
  <dataValidations disablePrompts="1" count="1">
    <dataValidation type="list" allowBlank="1" showInputMessage="1" showErrorMessage="1" sqref="D11:D32">
      <formula1>INDIRECT(C11)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Modelo!$P$3:$P$10</xm:f>
          </x14:formula1>
          <xm:sqref>C11:C32</xm:sqref>
        </x14:dataValidation>
        <x14:dataValidation type="list" allowBlank="1" showInputMessage="1" showErrorMessage="1">
          <x14:formula1>
            <xm:f>Modelo!$R$3:$R$14</xm:f>
          </x14:formula1>
          <xm:sqref>I11:I22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1:P88"/>
  <sheetViews>
    <sheetView showGridLines="0" topLeftCell="A10" zoomScale="70" zoomScaleNormal="70" workbookViewId="0">
      <selection activeCell="B52" sqref="B52"/>
    </sheetView>
  </sheetViews>
  <sheetFormatPr defaultRowHeight="15" x14ac:dyDescent="0.25"/>
  <cols>
    <col min="1" max="1" width="3" customWidth="1"/>
    <col min="2" max="2" width="12.140625" bestFit="1" customWidth="1"/>
    <col min="3" max="3" width="41.5703125" bestFit="1" customWidth="1"/>
    <col min="4" max="4" width="10.42578125" bestFit="1" customWidth="1"/>
    <col min="5" max="5" width="9.28515625" bestFit="1" customWidth="1"/>
    <col min="6" max="6" width="13.7109375" bestFit="1" customWidth="1"/>
    <col min="7" max="7" width="2.5703125" customWidth="1"/>
    <col min="8" max="8" width="17.85546875" bestFit="1" customWidth="1"/>
    <col min="9" max="9" width="13.7109375" bestFit="1" customWidth="1"/>
    <col min="10" max="11" width="11.85546875" customWidth="1"/>
    <col min="13" max="16" width="12" customWidth="1"/>
  </cols>
  <sheetData>
    <row r="1" spans="2:16" ht="15.75" thickBot="1" x14ac:dyDescent="0.3"/>
    <row r="2" spans="2:16" ht="15.75" thickBot="1" x14ac:dyDescent="0.3">
      <c r="B2" s="11" t="s">
        <v>14</v>
      </c>
      <c r="C2" s="32" t="s">
        <v>1</v>
      </c>
      <c r="D2" s="31" t="s">
        <v>2</v>
      </c>
      <c r="F2" s="5" t="s">
        <v>3</v>
      </c>
      <c r="H2" s="128"/>
      <c r="I2" s="128"/>
      <c r="J2" s="128"/>
      <c r="K2" s="128"/>
    </row>
    <row r="3" spans="2:16" ht="15.75" thickBot="1" x14ac:dyDescent="0.3">
      <c r="B3" s="10" t="s">
        <v>4</v>
      </c>
      <c r="C3" s="29"/>
      <c r="D3" s="30"/>
      <c r="F3" s="38">
        <f>SUM(D3,D5,D6,D7,D4)</f>
        <v>0</v>
      </c>
      <c r="I3" s="11" t="s">
        <v>5</v>
      </c>
    </row>
    <row r="4" spans="2:16" ht="15.75" thickBot="1" x14ac:dyDescent="0.3">
      <c r="B4" s="6" t="s">
        <v>128</v>
      </c>
      <c r="C4" s="7"/>
      <c r="D4" s="26">
        <f>SUM(P10:P25)</f>
        <v>0</v>
      </c>
      <c r="F4" s="37">
        <f>SUM(F11:F32)</f>
        <v>0</v>
      </c>
      <c r="I4" s="15">
        <f ca="1">TODAY()</f>
        <v>46002</v>
      </c>
    </row>
    <row r="5" spans="2:16" ht="15.75" thickBot="1" x14ac:dyDescent="0.3">
      <c r="B5" s="24" t="s">
        <v>6</v>
      </c>
      <c r="C5" s="25"/>
      <c r="D5" s="27"/>
      <c r="F5" s="98">
        <f>D4</f>
        <v>0</v>
      </c>
      <c r="I5" s="17" t="s">
        <v>7</v>
      </c>
    </row>
    <row r="6" spans="2:16" ht="15.75" thickBot="1" x14ac:dyDescent="0.3">
      <c r="B6" s="24" t="s">
        <v>132</v>
      </c>
      <c r="C6" s="25"/>
      <c r="D6" s="27"/>
      <c r="F6" s="36">
        <f>SUM(K11:K22)</f>
        <v>0</v>
      </c>
      <c r="I6" s="14">
        <v>45847</v>
      </c>
    </row>
    <row r="7" spans="2:16" ht="15.75" thickBot="1" x14ac:dyDescent="0.3">
      <c r="B7" s="8" t="s">
        <v>15</v>
      </c>
      <c r="C7" s="9"/>
      <c r="D7" s="28">
        <f>Jan!F7</f>
        <v>0</v>
      </c>
      <c r="F7" s="39">
        <f>F3-F4-F6</f>
        <v>0</v>
      </c>
    </row>
    <row r="8" spans="2:16" ht="15.75" thickBot="1" x14ac:dyDescent="0.3"/>
    <row r="9" spans="2:16" ht="15.75" thickBot="1" x14ac:dyDescent="0.3">
      <c r="B9" s="124" t="s">
        <v>8</v>
      </c>
      <c r="C9" s="125"/>
      <c r="D9" s="125"/>
      <c r="E9" s="125"/>
      <c r="F9" s="126"/>
      <c r="H9" s="127" t="s">
        <v>9</v>
      </c>
      <c r="I9" s="127"/>
      <c r="J9" s="127"/>
      <c r="K9" s="127"/>
      <c r="M9" s="91" t="s">
        <v>129</v>
      </c>
      <c r="N9" s="92" t="s">
        <v>130</v>
      </c>
      <c r="O9" s="93" t="s">
        <v>131</v>
      </c>
      <c r="P9" s="94" t="s">
        <v>74</v>
      </c>
    </row>
    <row r="10" spans="2:16" ht="15.75" thickBot="1" x14ac:dyDescent="0.3">
      <c r="B10" s="5" t="s">
        <v>5</v>
      </c>
      <c r="C10" s="5" t="s">
        <v>10</v>
      </c>
      <c r="D10" s="5" t="s">
        <v>11</v>
      </c>
      <c r="E10" s="5" t="s">
        <v>12</v>
      </c>
      <c r="F10" s="5" t="s">
        <v>2</v>
      </c>
      <c r="H10" s="5" t="s">
        <v>5</v>
      </c>
      <c r="I10" s="5" t="s">
        <v>13</v>
      </c>
      <c r="J10" s="5" t="s">
        <v>11</v>
      </c>
      <c r="K10" s="5" t="s">
        <v>2</v>
      </c>
      <c r="M10" s="89"/>
      <c r="N10" s="95"/>
      <c r="O10" s="90"/>
      <c r="P10" s="60"/>
    </row>
    <row r="11" spans="2:16" x14ac:dyDescent="0.25">
      <c r="B11" s="21"/>
      <c r="C11" s="16"/>
      <c r="D11" s="16"/>
      <c r="E11" s="16"/>
      <c r="F11" s="33"/>
      <c r="H11" s="18"/>
      <c r="I11" s="13"/>
      <c r="J11" s="13"/>
      <c r="K11" s="60"/>
      <c r="M11" s="77"/>
      <c r="N11" s="96"/>
      <c r="O11" s="87"/>
      <c r="P11" s="61"/>
    </row>
    <row r="12" spans="2:16" x14ac:dyDescent="0.25">
      <c r="B12" s="22"/>
      <c r="C12" s="7"/>
      <c r="D12" s="7"/>
      <c r="E12" s="7"/>
      <c r="F12" s="34"/>
      <c r="H12" s="19"/>
      <c r="I12" s="13"/>
      <c r="J12" s="1"/>
      <c r="K12" s="61"/>
      <c r="M12" s="77"/>
      <c r="N12" s="96"/>
      <c r="O12" s="87"/>
      <c r="P12" s="61"/>
    </row>
    <row r="13" spans="2:16" x14ac:dyDescent="0.25">
      <c r="B13" s="22"/>
      <c r="C13" s="7"/>
      <c r="D13" s="7"/>
      <c r="E13" s="7"/>
      <c r="F13" s="34"/>
      <c r="H13" s="19"/>
      <c r="I13" s="13"/>
      <c r="J13" s="1"/>
      <c r="K13" s="61"/>
      <c r="M13" s="77"/>
      <c r="N13" s="96"/>
      <c r="O13" s="87"/>
      <c r="P13" s="61"/>
    </row>
    <row r="14" spans="2:16" x14ac:dyDescent="0.25">
      <c r="B14" s="22"/>
      <c r="C14" s="7"/>
      <c r="D14" s="7"/>
      <c r="E14" s="7"/>
      <c r="F14" s="34"/>
      <c r="H14" s="19"/>
      <c r="I14" s="13"/>
      <c r="J14" s="1"/>
      <c r="K14" s="61"/>
      <c r="M14" s="77"/>
      <c r="N14" s="96"/>
      <c r="O14" s="87"/>
      <c r="P14" s="61"/>
    </row>
    <row r="15" spans="2:16" x14ac:dyDescent="0.25">
      <c r="B15" s="22"/>
      <c r="C15" s="7"/>
      <c r="D15" s="7"/>
      <c r="E15" s="7"/>
      <c r="F15" s="34"/>
      <c r="H15" s="19"/>
      <c r="I15" s="13"/>
      <c r="J15" s="1"/>
      <c r="K15" s="61"/>
      <c r="M15" s="77"/>
      <c r="N15" s="96"/>
      <c r="O15" s="87"/>
      <c r="P15" s="61"/>
    </row>
    <row r="16" spans="2:16" x14ac:dyDescent="0.25">
      <c r="B16" s="22"/>
      <c r="C16" s="7"/>
      <c r="D16" s="7"/>
      <c r="E16" s="7"/>
      <c r="F16" s="34"/>
      <c r="H16" s="19"/>
      <c r="I16" s="13"/>
      <c r="J16" s="1"/>
      <c r="K16" s="61"/>
      <c r="M16" s="77"/>
      <c r="N16" s="96"/>
      <c r="O16" s="87"/>
      <c r="P16" s="61"/>
    </row>
    <row r="17" spans="2:16" x14ac:dyDescent="0.25">
      <c r="B17" s="22"/>
      <c r="C17" s="7"/>
      <c r="D17" s="7"/>
      <c r="E17" s="7"/>
      <c r="F17" s="34"/>
      <c r="H17" s="19"/>
      <c r="I17" s="13"/>
      <c r="J17" s="1"/>
      <c r="K17" s="61"/>
      <c r="M17" s="77"/>
      <c r="N17" s="96"/>
      <c r="O17" s="87"/>
      <c r="P17" s="61"/>
    </row>
    <row r="18" spans="2:16" x14ac:dyDescent="0.25">
      <c r="B18" s="22"/>
      <c r="C18" s="7"/>
      <c r="D18" s="7"/>
      <c r="E18" s="7"/>
      <c r="F18" s="34"/>
      <c r="H18" s="19"/>
      <c r="I18" s="13"/>
      <c r="J18" s="1"/>
      <c r="K18" s="61"/>
      <c r="M18" s="77"/>
      <c r="N18" s="96"/>
      <c r="O18" s="87"/>
      <c r="P18" s="61"/>
    </row>
    <row r="19" spans="2:16" x14ac:dyDescent="0.25">
      <c r="B19" s="22"/>
      <c r="C19" s="7"/>
      <c r="D19" s="7"/>
      <c r="E19" s="7"/>
      <c r="F19" s="34"/>
      <c r="H19" s="19"/>
      <c r="I19" s="13"/>
      <c r="J19" s="1"/>
      <c r="K19" s="61"/>
      <c r="M19" s="77"/>
      <c r="N19" s="96"/>
      <c r="O19" s="87"/>
      <c r="P19" s="61"/>
    </row>
    <row r="20" spans="2:16" x14ac:dyDescent="0.25">
      <c r="B20" s="22"/>
      <c r="C20" s="7"/>
      <c r="D20" s="7"/>
      <c r="E20" s="7"/>
      <c r="F20" s="34"/>
      <c r="H20" s="19"/>
      <c r="I20" s="13"/>
      <c r="J20" s="1"/>
      <c r="K20" s="61"/>
      <c r="M20" s="77"/>
      <c r="N20" s="96"/>
      <c r="O20" s="87"/>
      <c r="P20" s="61"/>
    </row>
    <row r="21" spans="2:16" x14ac:dyDescent="0.25">
      <c r="B21" s="22"/>
      <c r="C21" s="7"/>
      <c r="D21" s="7"/>
      <c r="E21" s="7"/>
      <c r="F21" s="34"/>
      <c r="H21" s="19"/>
      <c r="I21" s="13"/>
      <c r="J21" s="1"/>
      <c r="K21" s="61"/>
      <c r="M21" s="77"/>
      <c r="N21" s="96"/>
      <c r="O21" s="87"/>
      <c r="P21" s="61"/>
    </row>
    <row r="22" spans="2:16" ht="15.75" thickBot="1" x14ac:dyDescent="0.3">
      <c r="B22" s="22"/>
      <c r="C22" s="7"/>
      <c r="D22" s="7"/>
      <c r="E22" s="7"/>
      <c r="F22" s="34"/>
      <c r="H22" s="20"/>
      <c r="I22" s="3"/>
      <c r="J22" s="3"/>
      <c r="K22" s="62"/>
      <c r="M22" s="77"/>
      <c r="N22" s="96"/>
      <c r="O22" s="87"/>
      <c r="P22" s="61"/>
    </row>
    <row r="23" spans="2:16" x14ac:dyDescent="0.25">
      <c r="B23" s="22"/>
      <c r="C23" s="7"/>
      <c r="D23" s="7"/>
      <c r="E23" s="7"/>
      <c r="F23" s="34"/>
      <c r="M23" s="77"/>
      <c r="N23" s="96"/>
      <c r="O23" s="87"/>
      <c r="P23" s="61"/>
    </row>
    <row r="24" spans="2:16" x14ac:dyDescent="0.25">
      <c r="B24" s="22"/>
      <c r="C24" s="7"/>
      <c r="D24" s="7"/>
      <c r="E24" s="7"/>
      <c r="F24" s="34"/>
      <c r="M24" s="77"/>
      <c r="N24" s="96"/>
      <c r="O24" s="87"/>
      <c r="P24" s="61"/>
    </row>
    <row r="25" spans="2:16" ht="15.75" thickBot="1" x14ac:dyDescent="0.3">
      <c r="B25" s="22"/>
      <c r="C25" s="7"/>
      <c r="D25" s="7"/>
      <c r="E25" s="7"/>
      <c r="F25" s="34"/>
      <c r="M25" s="70"/>
      <c r="N25" s="97"/>
      <c r="O25" s="88"/>
      <c r="P25" s="62"/>
    </row>
    <row r="26" spans="2:16" x14ac:dyDescent="0.25">
      <c r="B26" s="22"/>
      <c r="C26" s="7"/>
      <c r="D26" s="7"/>
      <c r="E26" s="7"/>
      <c r="F26" s="34"/>
    </row>
    <row r="27" spans="2:16" x14ac:dyDescent="0.25">
      <c r="B27" s="22"/>
      <c r="C27" s="7"/>
      <c r="D27" s="7"/>
      <c r="E27" s="7"/>
      <c r="F27" s="34"/>
    </row>
    <row r="28" spans="2:16" x14ac:dyDescent="0.25">
      <c r="B28" s="22"/>
      <c r="C28" s="7"/>
      <c r="D28" s="7"/>
      <c r="E28" s="7"/>
      <c r="F28" s="34"/>
    </row>
    <row r="29" spans="2:16" x14ac:dyDescent="0.25">
      <c r="B29" s="22"/>
      <c r="C29" s="7"/>
      <c r="D29" s="7"/>
      <c r="E29" s="7"/>
      <c r="F29" s="34"/>
    </row>
    <row r="30" spans="2:16" x14ac:dyDescent="0.25">
      <c r="B30" s="22"/>
      <c r="C30" s="7"/>
      <c r="D30" s="7"/>
      <c r="E30" s="7"/>
      <c r="F30" s="34"/>
    </row>
    <row r="31" spans="2:16" x14ac:dyDescent="0.25">
      <c r="B31" s="22"/>
      <c r="C31" s="7"/>
      <c r="D31" s="7"/>
      <c r="E31" s="7"/>
      <c r="F31" s="34"/>
    </row>
    <row r="32" spans="2:16" ht="15.75" thickBot="1" x14ac:dyDescent="0.3">
      <c r="B32" s="23"/>
      <c r="C32" s="9"/>
      <c r="D32" s="9"/>
      <c r="E32" s="9"/>
      <c r="F32" s="35"/>
    </row>
    <row r="34" spans="2:9" ht="15.75" thickBot="1" x14ac:dyDescent="0.3"/>
    <row r="35" spans="2:9" x14ac:dyDescent="0.25">
      <c r="B35" s="72" t="s">
        <v>35</v>
      </c>
      <c r="C35" s="66" t="s">
        <v>120</v>
      </c>
      <c r="D35" s="67">
        <f>SUMIF($D$11:$D$32,C35,$F$11:$F$32)</f>
        <v>0</v>
      </c>
      <c r="H35" s="78" t="s">
        <v>111</v>
      </c>
      <c r="I35" s="67">
        <f>SUMIF($I$11:$I$22,H35,$K$11:$K$22)</f>
        <v>0</v>
      </c>
    </row>
    <row r="36" spans="2:9" ht="15.75" thickBot="1" x14ac:dyDescent="0.3">
      <c r="B36" s="73">
        <f>SUM(D35:D39)</f>
        <v>0</v>
      </c>
      <c r="C36" s="68" t="s">
        <v>80</v>
      </c>
      <c r="D36" s="69">
        <f t="shared" ref="D36:D88" si="0">SUMIF($D$11:$D$32,C36,$F$11:$F$32)</f>
        <v>0</v>
      </c>
      <c r="H36" s="79" t="s">
        <v>112</v>
      </c>
      <c r="I36" s="69">
        <f t="shared" ref="I36:I45" si="1">SUMIF($I$11:$I$22,H36,$K$11:$K$22)</f>
        <v>0</v>
      </c>
    </row>
    <row r="37" spans="2:9" x14ac:dyDescent="0.25">
      <c r="C37" s="68" t="s">
        <v>81</v>
      </c>
      <c r="D37" s="69">
        <f t="shared" si="0"/>
        <v>0</v>
      </c>
      <c r="H37" s="79" t="s">
        <v>113</v>
      </c>
      <c r="I37" s="69">
        <f t="shared" si="1"/>
        <v>0</v>
      </c>
    </row>
    <row r="38" spans="2:9" x14ac:dyDescent="0.25">
      <c r="C38" s="68" t="s">
        <v>36</v>
      </c>
      <c r="D38" s="69">
        <f t="shared" si="0"/>
        <v>0</v>
      </c>
      <c r="H38" s="79" t="s">
        <v>114</v>
      </c>
      <c r="I38" s="69">
        <f t="shared" si="1"/>
        <v>0</v>
      </c>
    </row>
    <row r="39" spans="2:9" ht="15.75" thickBot="1" x14ac:dyDescent="0.3">
      <c r="C39" s="76"/>
      <c r="D39" s="71">
        <f t="shared" si="0"/>
        <v>0</v>
      </c>
      <c r="H39" s="79" t="s">
        <v>115</v>
      </c>
      <c r="I39" s="69">
        <f t="shared" si="1"/>
        <v>0</v>
      </c>
    </row>
    <row r="40" spans="2:9" ht="15.75" thickBot="1" x14ac:dyDescent="0.3">
      <c r="C40" s="54"/>
      <c r="D40" s="63"/>
      <c r="H40" s="79" t="s">
        <v>116</v>
      </c>
      <c r="I40" s="69">
        <f t="shared" si="1"/>
        <v>0</v>
      </c>
    </row>
    <row r="41" spans="2:9" x14ac:dyDescent="0.25">
      <c r="B41" s="72" t="s">
        <v>21</v>
      </c>
      <c r="C41" s="66" t="s">
        <v>85</v>
      </c>
      <c r="D41" s="67">
        <f t="shared" si="0"/>
        <v>0</v>
      </c>
      <c r="H41" s="79" t="s">
        <v>117</v>
      </c>
      <c r="I41" s="69">
        <f t="shared" si="1"/>
        <v>0</v>
      </c>
    </row>
    <row r="42" spans="2:9" ht="15.75" thickBot="1" x14ac:dyDescent="0.3">
      <c r="B42" s="73">
        <f>SUBTOTAL(9,D41:D48)</f>
        <v>0</v>
      </c>
      <c r="C42" s="68" t="s">
        <v>22</v>
      </c>
      <c r="D42" s="69">
        <f t="shared" si="0"/>
        <v>0</v>
      </c>
      <c r="H42" s="79" t="s">
        <v>118</v>
      </c>
      <c r="I42" s="69">
        <f t="shared" si="1"/>
        <v>0</v>
      </c>
    </row>
    <row r="43" spans="2:9" x14ac:dyDescent="0.25">
      <c r="C43" s="68" t="s">
        <v>40</v>
      </c>
      <c r="D43" s="69">
        <f t="shared" si="0"/>
        <v>0</v>
      </c>
      <c r="H43" s="79" t="s">
        <v>84</v>
      </c>
      <c r="I43" s="69">
        <f t="shared" si="1"/>
        <v>0</v>
      </c>
    </row>
    <row r="44" spans="2:9" x14ac:dyDescent="0.25">
      <c r="C44" s="68" t="s">
        <v>87</v>
      </c>
      <c r="D44" s="69">
        <f t="shared" si="0"/>
        <v>0</v>
      </c>
      <c r="H44" s="79" t="s">
        <v>119</v>
      </c>
      <c r="I44" s="69">
        <f t="shared" si="1"/>
        <v>0</v>
      </c>
    </row>
    <row r="45" spans="2:9" ht="15.75" thickBot="1" x14ac:dyDescent="0.3">
      <c r="C45" s="68" t="s">
        <v>86</v>
      </c>
      <c r="D45" s="69">
        <f t="shared" si="0"/>
        <v>0</v>
      </c>
      <c r="H45" s="80"/>
      <c r="I45" s="71">
        <f t="shared" si="1"/>
        <v>0</v>
      </c>
    </row>
    <row r="46" spans="2:9" x14ac:dyDescent="0.25">
      <c r="C46" s="68" t="s">
        <v>43</v>
      </c>
      <c r="D46" s="69">
        <f t="shared" si="0"/>
        <v>0</v>
      </c>
    </row>
    <row r="47" spans="2:9" x14ac:dyDescent="0.25">
      <c r="C47" s="74"/>
      <c r="D47" s="75">
        <f t="shared" si="0"/>
        <v>0</v>
      </c>
    </row>
    <row r="48" spans="2:9" ht="15.75" thickBot="1" x14ac:dyDescent="0.3">
      <c r="C48" s="76"/>
      <c r="D48" s="71">
        <f t="shared" si="0"/>
        <v>0</v>
      </c>
    </row>
    <row r="49" spans="2:4" ht="15.75" thickBot="1" x14ac:dyDescent="0.3">
      <c r="D49" s="63"/>
    </row>
    <row r="50" spans="2:4" x14ac:dyDescent="0.25">
      <c r="B50" s="72" t="s">
        <v>27</v>
      </c>
      <c r="C50" s="66" t="s">
        <v>28</v>
      </c>
      <c r="D50" s="67">
        <f t="shared" si="0"/>
        <v>0</v>
      </c>
    </row>
    <row r="51" spans="2:4" ht="15.75" thickBot="1" x14ac:dyDescent="0.3">
      <c r="B51" s="108">
        <f>SUM(D50:D56)</f>
        <v>0</v>
      </c>
      <c r="C51" s="68" t="s">
        <v>88</v>
      </c>
      <c r="D51" s="69">
        <f t="shared" si="0"/>
        <v>0</v>
      </c>
    </row>
    <row r="52" spans="2:4" x14ac:dyDescent="0.25">
      <c r="C52" s="68" t="s">
        <v>89</v>
      </c>
      <c r="D52" s="69">
        <f t="shared" si="0"/>
        <v>0</v>
      </c>
    </row>
    <row r="53" spans="2:4" x14ac:dyDescent="0.25">
      <c r="C53" s="68" t="s">
        <v>51</v>
      </c>
      <c r="D53" s="69">
        <f t="shared" si="0"/>
        <v>0</v>
      </c>
    </row>
    <row r="54" spans="2:4" x14ac:dyDescent="0.25">
      <c r="C54" s="68" t="s">
        <v>90</v>
      </c>
      <c r="D54" s="69">
        <f t="shared" si="0"/>
        <v>0</v>
      </c>
    </row>
    <row r="55" spans="2:4" x14ac:dyDescent="0.25">
      <c r="C55" s="68" t="s">
        <v>58</v>
      </c>
      <c r="D55" s="69">
        <f t="shared" si="0"/>
        <v>0</v>
      </c>
    </row>
    <row r="56" spans="2:4" ht="15.75" thickBot="1" x14ac:dyDescent="0.3">
      <c r="C56" s="70"/>
      <c r="D56" s="71">
        <f t="shared" si="0"/>
        <v>0</v>
      </c>
    </row>
    <row r="57" spans="2:4" ht="15.75" thickBot="1" x14ac:dyDescent="0.3">
      <c r="D57" s="63"/>
    </row>
    <row r="58" spans="2:4" x14ac:dyDescent="0.25">
      <c r="B58" s="72" t="s">
        <v>24</v>
      </c>
      <c r="C58" s="66" t="s">
        <v>121</v>
      </c>
      <c r="D58" s="67">
        <f t="shared" si="0"/>
        <v>0</v>
      </c>
    </row>
    <row r="59" spans="2:4" ht="15.75" thickBot="1" x14ac:dyDescent="0.3">
      <c r="B59" s="73">
        <f>SUM(D58:D64)</f>
        <v>0</v>
      </c>
      <c r="C59" s="68" t="s">
        <v>32</v>
      </c>
      <c r="D59" s="69">
        <f t="shared" si="0"/>
        <v>0</v>
      </c>
    </row>
    <row r="60" spans="2:4" x14ac:dyDescent="0.25">
      <c r="C60" s="68" t="s">
        <v>91</v>
      </c>
      <c r="D60" s="69">
        <f t="shared" si="0"/>
        <v>0</v>
      </c>
    </row>
    <row r="61" spans="2:4" x14ac:dyDescent="0.25">
      <c r="C61" s="68" t="s">
        <v>92</v>
      </c>
      <c r="D61" s="69">
        <f t="shared" si="0"/>
        <v>0</v>
      </c>
    </row>
    <row r="62" spans="2:4" x14ac:dyDescent="0.25">
      <c r="C62" s="68" t="s">
        <v>93</v>
      </c>
      <c r="D62" s="69">
        <f t="shared" si="0"/>
        <v>0</v>
      </c>
    </row>
    <row r="63" spans="2:4" x14ac:dyDescent="0.25">
      <c r="C63" s="68" t="s">
        <v>25</v>
      </c>
      <c r="D63" s="69">
        <f t="shared" si="0"/>
        <v>0</v>
      </c>
    </row>
    <row r="64" spans="2:4" ht="15.75" thickBot="1" x14ac:dyDescent="0.3">
      <c r="C64" s="70"/>
      <c r="D64" s="71">
        <f t="shared" si="0"/>
        <v>0</v>
      </c>
    </row>
    <row r="65" spans="2:4" ht="15.75" thickBot="1" x14ac:dyDescent="0.3">
      <c r="D65" s="63"/>
    </row>
    <row r="66" spans="2:4" x14ac:dyDescent="0.25">
      <c r="B66" s="72" t="s">
        <v>83</v>
      </c>
      <c r="C66" s="66" t="s">
        <v>122</v>
      </c>
      <c r="D66" s="67">
        <f t="shared" si="0"/>
        <v>0</v>
      </c>
    </row>
    <row r="67" spans="2:4" ht="15.75" thickBot="1" x14ac:dyDescent="0.3">
      <c r="B67" s="73">
        <f>SUM(D66:D72)</f>
        <v>0</v>
      </c>
      <c r="C67" s="68" t="s">
        <v>95</v>
      </c>
      <c r="D67" s="69">
        <f t="shared" si="0"/>
        <v>0</v>
      </c>
    </row>
    <row r="68" spans="2:4" x14ac:dyDescent="0.25">
      <c r="C68" s="68" t="s">
        <v>96</v>
      </c>
      <c r="D68" s="69">
        <f t="shared" si="0"/>
        <v>0</v>
      </c>
    </row>
    <row r="69" spans="2:4" x14ac:dyDescent="0.25">
      <c r="C69" s="68" t="s">
        <v>123</v>
      </c>
      <c r="D69" s="69">
        <f t="shared" si="0"/>
        <v>0</v>
      </c>
    </row>
    <row r="70" spans="2:4" x14ac:dyDescent="0.25">
      <c r="C70" s="68" t="s">
        <v>98</v>
      </c>
      <c r="D70" s="69">
        <f t="shared" si="0"/>
        <v>0</v>
      </c>
    </row>
    <row r="71" spans="2:4" x14ac:dyDescent="0.25">
      <c r="C71" s="68" t="s">
        <v>99</v>
      </c>
      <c r="D71" s="69">
        <f t="shared" si="0"/>
        <v>0</v>
      </c>
    </row>
    <row r="72" spans="2:4" ht="15.75" thickBot="1" x14ac:dyDescent="0.3">
      <c r="C72" s="70"/>
      <c r="D72" s="71">
        <f t="shared" si="0"/>
        <v>0</v>
      </c>
    </row>
    <row r="73" spans="2:4" ht="15.75" thickBot="1" x14ac:dyDescent="0.3">
      <c r="D73" s="63"/>
    </row>
    <row r="74" spans="2:4" x14ac:dyDescent="0.25">
      <c r="B74" s="72" t="s">
        <v>84</v>
      </c>
      <c r="C74" s="66" t="s">
        <v>100</v>
      </c>
      <c r="D74" s="67">
        <f t="shared" si="0"/>
        <v>0</v>
      </c>
    </row>
    <row r="75" spans="2:4" ht="15.75" thickBot="1" x14ac:dyDescent="0.3">
      <c r="B75" s="73">
        <f>SUM(D74:D80)</f>
        <v>0</v>
      </c>
      <c r="C75" s="68" t="s">
        <v>101</v>
      </c>
      <c r="D75" s="69">
        <f t="shared" si="0"/>
        <v>0</v>
      </c>
    </row>
    <row r="76" spans="2:4" x14ac:dyDescent="0.25">
      <c r="C76" s="68" t="s">
        <v>103</v>
      </c>
      <c r="D76" s="69">
        <f t="shared" si="0"/>
        <v>0</v>
      </c>
    </row>
    <row r="77" spans="2:4" x14ac:dyDescent="0.25">
      <c r="C77" s="68" t="s">
        <v>105</v>
      </c>
      <c r="D77" s="69">
        <f t="shared" si="0"/>
        <v>0</v>
      </c>
    </row>
    <row r="78" spans="2:4" x14ac:dyDescent="0.25">
      <c r="C78" s="68"/>
      <c r="D78" s="69">
        <f t="shared" si="0"/>
        <v>0</v>
      </c>
    </row>
    <row r="79" spans="2:4" x14ac:dyDescent="0.25">
      <c r="C79" s="68"/>
      <c r="D79" s="69">
        <f t="shared" si="0"/>
        <v>0</v>
      </c>
    </row>
    <row r="80" spans="2:4" ht="15.75" thickBot="1" x14ac:dyDescent="0.3">
      <c r="C80" s="70"/>
      <c r="D80" s="71">
        <f t="shared" si="0"/>
        <v>0</v>
      </c>
    </row>
    <row r="81" spans="2:4" ht="15.75" thickBot="1" x14ac:dyDescent="0.3">
      <c r="D81" s="63"/>
    </row>
    <row r="82" spans="2:4" x14ac:dyDescent="0.25">
      <c r="B82" s="72" t="s">
        <v>45</v>
      </c>
      <c r="C82" s="66" t="s">
        <v>106</v>
      </c>
      <c r="D82" s="67">
        <f t="shared" si="0"/>
        <v>0</v>
      </c>
    </row>
    <row r="83" spans="2:4" ht="15.75" thickBot="1" x14ac:dyDescent="0.3">
      <c r="B83" s="73">
        <f>SUM(D82:D88)</f>
        <v>0</v>
      </c>
      <c r="C83" s="68" t="s">
        <v>107</v>
      </c>
      <c r="D83" s="69">
        <f>SUMIF($D$11:$D$32,C83,$F$11:$F$32)</f>
        <v>0</v>
      </c>
    </row>
    <row r="84" spans="2:4" x14ac:dyDescent="0.25">
      <c r="C84" s="68" t="s">
        <v>108</v>
      </c>
      <c r="D84" s="69">
        <f t="shared" si="0"/>
        <v>0</v>
      </c>
    </row>
    <row r="85" spans="2:4" x14ac:dyDescent="0.25">
      <c r="C85" s="68" t="s">
        <v>109</v>
      </c>
      <c r="D85" s="69">
        <f t="shared" si="0"/>
        <v>0</v>
      </c>
    </row>
    <row r="86" spans="2:4" x14ac:dyDescent="0.25">
      <c r="C86" s="68" t="s">
        <v>110</v>
      </c>
      <c r="D86" s="69">
        <f t="shared" si="0"/>
        <v>0</v>
      </c>
    </row>
    <row r="87" spans="2:4" x14ac:dyDescent="0.25">
      <c r="C87" s="68" t="s">
        <v>46</v>
      </c>
      <c r="D87" s="69">
        <f t="shared" si="0"/>
        <v>0</v>
      </c>
    </row>
    <row r="88" spans="2:4" ht="15.75" thickBot="1" x14ac:dyDescent="0.3">
      <c r="C88" s="70"/>
      <c r="D88" s="71">
        <f t="shared" si="0"/>
        <v>0</v>
      </c>
    </row>
  </sheetData>
  <mergeCells count="3">
    <mergeCell ref="H2:K2"/>
    <mergeCell ref="B9:F9"/>
    <mergeCell ref="H9:K9"/>
  </mergeCells>
  <dataValidations disablePrompts="1" count="1">
    <dataValidation type="list" allowBlank="1" showInputMessage="1" showErrorMessage="1" sqref="D11:D32">
      <formula1>INDIRECT(C11)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Modelo!$P$3:$P$10</xm:f>
          </x14:formula1>
          <xm:sqref>C11:C32</xm:sqref>
        </x14:dataValidation>
        <x14:dataValidation type="list" allowBlank="1" showInputMessage="1" showErrorMessage="1">
          <x14:formula1>
            <xm:f>Modelo!$R$3:$R$14</xm:f>
          </x14:formula1>
          <xm:sqref>I11:I22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1:P88"/>
  <sheetViews>
    <sheetView showGridLines="0" topLeftCell="A24" zoomScale="70" zoomScaleNormal="70" workbookViewId="0">
      <selection activeCell="F4" sqref="F4"/>
    </sheetView>
  </sheetViews>
  <sheetFormatPr defaultRowHeight="15" x14ac:dyDescent="0.25"/>
  <cols>
    <col min="1" max="1" width="3" customWidth="1"/>
    <col min="2" max="2" width="12.140625" bestFit="1" customWidth="1"/>
    <col min="3" max="3" width="41.5703125" bestFit="1" customWidth="1"/>
    <col min="4" max="4" width="10.42578125" bestFit="1" customWidth="1"/>
    <col min="5" max="5" width="9.28515625" bestFit="1" customWidth="1"/>
    <col min="6" max="6" width="13.7109375" bestFit="1" customWidth="1"/>
    <col min="7" max="7" width="2.5703125" customWidth="1"/>
    <col min="8" max="8" width="17.85546875" bestFit="1" customWidth="1"/>
    <col min="9" max="9" width="13.7109375" bestFit="1" customWidth="1"/>
    <col min="10" max="11" width="11.85546875" customWidth="1"/>
    <col min="13" max="16" width="12" customWidth="1"/>
  </cols>
  <sheetData>
    <row r="1" spans="2:16" ht="15.75" thickBot="1" x14ac:dyDescent="0.3"/>
    <row r="2" spans="2:16" ht="15.75" thickBot="1" x14ac:dyDescent="0.3">
      <c r="B2" s="11" t="s">
        <v>16</v>
      </c>
      <c r="C2" s="32" t="s">
        <v>1</v>
      </c>
      <c r="D2" s="31" t="s">
        <v>2</v>
      </c>
      <c r="F2" s="5" t="s">
        <v>3</v>
      </c>
      <c r="H2" s="128"/>
      <c r="I2" s="128"/>
      <c r="J2" s="128"/>
      <c r="K2" s="128"/>
    </row>
    <row r="3" spans="2:16" ht="15.75" thickBot="1" x14ac:dyDescent="0.3">
      <c r="B3" s="10" t="s">
        <v>4</v>
      </c>
      <c r="C3" s="29"/>
      <c r="D3" s="30"/>
      <c r="F3" s="38">
        <f>SUM(D3,D5,D6,D7,D4)</f>
        <v>0</v>
      </c>
      <c r="I3" s="11" t="s">
        <v>5</v>
      </c>
    </row>
    <row r="4" spans="2:16" ht="15.75" thickBot="1" x14ac:dyDescent="0.3">
      <c r="B4" s="6" t="s">
        <v>128</v>
      </c>
      <c r="C4" s="7"/>
      <c r="D4" s="26">
        <f>SUM(P10:P25)</f>
        <v>0</v>
      </c>
      <c r="F4" s="37">
        <f>SUM(F11:F32)</f>
        <v>0</v>
      </c>
      <c r="I4" s="15">
        <f ca="1">TODAY()</f>
        <v>46002</v>
      </c>
    </row>
    <row r="5" spans="2:16" ht="15.75" thickBot="1" x14ac:dyDescent="0.3">
      <c r="B5" s="24" t="s">
        <v>6</v>
      </c>
      <c r="C5" s="25"/>
      <c r="D5" s="27"/>
      <c r="F5" s="98">
        <f>D4</f>
        <v>0</v>
      </c>
      <c r="I5" s="17" t="s">
        <v>7</v>
      </c>
    </row>
    <row r="6" spans="2:16" ht="15.75" thickBot="1" x14ac:dyDescent="0.3">
      <c r="B6" s="24" t="s">
        <v>132</v>
      </c>
      <c r="C6" s="25"/>
      <c r="D6" s="27"/>
      <c r="F6" s="36">
        <f>SUM(K11:K22)</f>
        <v>0</v>
      </c>
      <c r="I6" s="14">
        <v>45847</v>
      </c>
    </row>
    <row r="7" spans="2:16" ht="15.75" thickBot="1" x14ac:dyDescent="0.3">
      <c r="B7" s="8" t="s">
        <v>15</v>
      </c>
      <c r="C7" s="9"/>
      <c r="D7" s="28">
        <f>Fev!F7</f>
        <v>0</v>
      </c>
      <c r="F7" s="39">
        <f>F3-F4-F6</f>
        <v>0</v>
      </c>
    </row>
    <row r="8" spans="2:16" ht="15.75" thickBot="1" x14ac:dyDescent="0.3"/>
    <row r="9" spans="2:16" ht="15.75" thickBot="1" x14ac:dyDescent="0.3">
      <c r="B9" s="124" t="s">
        <v>8</v>
      </c>
      <c r="C9" s="125"/>
      <c r="D9" s="125"/>
      <c r="E9" s="125"/>
      <c r="F9" s="126"/>
      <c r="H9" s="127" t="s">
        <v>9</v>
      </c>
      <c r="I9" s="127"/>
      <c r="J9" s="127"/>
      <c r="K9" s="127"/>
      <c r="M9" s="91" t="s">
        <v>129</v>
      </c>
      <c r="N9" s="92" t="s">
        <v>130</v>
      </c>
      <c r="O9" s="93" t="s">
        <v>131</v>
      </c>
      <c r="P9" s="94" t="s">
        <v>74</v>
      </c>
    </row>
    <row r="10" spans="2:16" ht="15.75" thickBot="1" x14ac:dyDescent="0.3">
      <c r="B10" s="5" t="s">
        <v>5</v>
      </c>
      <c r="C10" s="5" t="s">
        <v>10</v>
      </c>
      <c r="D10" s="5" t="s">
        <v>11</v>
      </c>
      <c r="E10" s="5" t="s">
        <v>12</v>
      </c>
      <c r="F10" s="5" t="s">
        <v>2</v>
      </c>
      <c r="H10" s="5" t="s">
        <v>5</v>
      </c>
      <c r="I10" s="5" t="s">
        <v>13</v>
      </c>
      <c r="J10" s="5" t="s">
        <v>11</v>
      </c>
      <c r="K10" s="5" t="s">
        <v>2</v>
      </c>
      <c r="M10" s="89"/>
      <c r="N10" s="95"/>
      <c r="O10" s="90"/>
      <c r="P10" s="60"/>
    </row>
    <row r="11" spans="2:16" x14ac:dyDescent="0.25">
      <c r="B11" s="21"/>
      <c r="C11" s="16"/>
      <c r="D11" s="16"/>
      <c r="E11" s="16"/>
      <c r="F11" s="33"/>
      <c r="H11" s="18"/>
      <c r="I11" s="13"/>
      <c r="J11" s="13"/>
      <c r="K11" s="60"/>
      <c r="M11" s="77"/>
      <c r="N11" s="96"/>
      <c r="O11" s="87"/>
      <c r="P11" s="61"/>
    </row>
    <row r="12" spans="2:16" x14ac:dyDescent="0.25">
      <c r="B12" s="22"/>
      <c r="C12" s="7"/>
      <c r="D12" s="7"/>
      <c r="E12" s="7"/>
      <c r="F12" s="34"/>
      <c r="H12" s="19"/>
      <c r="I12" s="13"/>
      <c r="J12" s="1"/>
      <c r="K12" s="61"/>
      <c r="M12" s="77"/>
      <c r="N12" s="96"/>
      <c r="O12" s="87"/>
      <c r="P12" s="61"/>
    </row>
    <row r="13" spans="2:16" x14ac:dyDescent="0.25">
      <c r="B13" s="22"/>
      <c r="C13" s="7"/>
      <c r="D13" s="7"/>
      <c r="E13" s="7"/>
      <c r="F13" s="34"/>
      <c r="H13" s="19"/>
      <c r="I13" s="13"/>
      <c r="J13" s="1"/>
      <c r="K13" s="61"/>
      <c r="M13" s="77"/>
      <c r="N13" s="96"/>
      <c r="O13" s="87"/>
      <c r="P13" s="61"/>
    </row>
    <row r="14" spans="2:16" x14ac:dyDescent="0.25">
      <c r="B14" s="22"/>
      <c r="C14" s="7"/>
      <c r="D14" s="7"/>
      <c r="E14" s="7"/>
      <c r="F14" s="34"/>
      <c r="H14" s="19"/>
      <c r="I14" s="13"/>
      <c r="J14" s="1"/>
      <c r="K14" s="61"/>
      <c r="M14" s="77"/>
      <c r="N14" s="96"/>
      <c r="O14" s="87"/>
      <c r="P14" s="61"/>
    </row>
    <row r="15" spans="2:16" x14ac:dyDescent="0.25">
      <c r="B15" s="22"/>
      <c r="C15" s="7"/>
      <c r="D15" s="7"/>
      <c r="E15" s="7"/>
      <c r="F15" s="34"/>
      <c r="H15" s="19"/>
      <c r="I15" s="13"/>
      <c r="J15" s="1"/>
      <c r="K15" s="61"/>
      <c r="M15" s="77"/>
      <c r="N15" s="96"/>
      <c r="O15" s="87"/>
      <c r="P15" s="61"/>
    </row>
    <row r="16" spans="2:16" x14ac:dyDescent="0.25">
      <c r="B16" s="22"/>
      <c r="C16" s="7"/>
      <c r="D16" s="7"/>
      <c r="E16" s="7"/>
      <c r="F16" s="34"/>
      <c r="H16" s="19"/>
      <c r="I16" s="13"/>
      <c r="J16" s="1"/>
      <c r="K16" s="61"/>
      <c r="M16" s="77"/>
      <c r="N16" s="96"/>
      <c r="O16" s="87"/>
      <c r="P16" s="61"/>
    </row>
    <row r="17" spans="2:16" x14ac:dyDescent="0.25">
      <c r="B17" s="22"/>
      <c r="C17" s="7"/>
      <c r="D17" s="7"/>
      <c r="E17" s="7"/>
      <c r="F17" s="34"/>
      <c r="H17" s="19"/>
      <c r="I17" s="13"/>
      <c r="J17" s="1"/>
      <c r="K17" s="61"/>
      <c r="M17" s="77"/>
      <c r="N17" s="96"/>
      <c r="O17" s="87"/>
      <c r="P17" s="61"/>
    </row>
    <row r="18" spans="2:16" x14ac:dyDescent="0.25">
      <c r="B18" s="22"/>
      <c r="C18" s="7"/>
      <c r="D18" s="7"/>
      <c r="E18" s="7"/>
      <c r="F18" s="34"/>
      <c r="H18" s="19"/>
      <c r="I18" s="13"/>
      <c r="J18" s="1"/>
      <c r="K18" s="61"/>
      <c r="M18" s="77"/>
      <c r="N18" s="96"/>
      <c r="O18" s="87"/>
      <c r="P18" s="61"/>
    </row>
    <row r="19" spans="2:16" x14ac:dyDescent="0.25">
      <c r="B19" s="22"/>
      <c r="C19" s="7"/>
      <c r="D19" s="7"/>
      <c r="E19" s="7"/>
      <c r="F19" s="34"/>
      <c r="H19" s="19"/>
      <c r="I19" s="13"/>
      <c r="J19" s="1"/>
      <c r="K19" s="61"/>
      <c r="M19" s="77"/>
      <c r="N19" s="96"/>
      <c r="O19" s="87"/>
      <c r="P19" s="61"/>
    </row>
    <row r="20" spans="2:16" x14ac:dyDescent="0.25">
      <c r="B20" s="22"/>
      <c r="C20" s="7"/>
      <c r="D20" s="7"/>
      <c r="E20" s="7"/>
      <c r="F20" s="34"/>
      <c r="H20" s="19"/>
      <c r="I20" s="13"/>
      <c r="J20" s="1"/>
      <c r="K20" s="61"/>
      <c r="M20" s="77"/>
      <c r="N20" s="96"/>
      <c r="O20" s="87"/>
      <c r="P20" s="61"/>
    </row>
    <row r="21" spans="2:16" x14ac:dyDescent="0.25">
      <c r="B21" s="22"/>
      <c r="C21" s="7"/>
      <c r="D21" s="7"/>
      <c r="E21" s="7"/>
      <c r="F21" s="34"/>
      <c r="H21" s="19"/>
      <c r="I21" s="13"/>
      <c r="J21" s="1"/>
      <c r="K21" s="61"/>
      <c r="M21" s="77"/>
      <c r="N21" s="96"/>
      <c r="O21" s="87"/>
      <c r="P21" s="61"/>
    </row>
    <row r="22" spans="2:16" ht="15.75" thickBot="1" x14ac:dyDescent="0.3">
      <c r="B22" s="22"/>
      <c r="C22" s="7"/>
      <c r="D22" s="7"/>
      <c r="E22" s="7"/>
      <c r="F22" s="34"/>
      <c r="H22" s="20"/>
      <c r="I22" s="3"/>
      <c r="J22" s="3"/>
      <c r="K22" s="62"/>
      <c r="M22" s="77"/>
      <c r="N22" s="96"/>
      <c r="O22" s="87"/>
      <c r="P22" s="61"/>
    </row>
    <row r="23" spans="2:16" x14ac:dyDescent="0.25">
      <c r="B23" s="22"/>
      <c r="C23" s="7"/>
      <c r="D23" s="7"/>
      <c r="E23" s="7"/>
      <c r="F23" s="34"/>
      <c r="M23" s="77"/>
      <c r="N23" s="96"/>
      <c r="O23" s="87"/>
      <c r="P23" s="61"/>
    </row>
    <row r="24" spans="2:16" x14ac:dyDescent="0.25">
      <c r="B24" s="22"/>
      <c r="C24" s="7"/>
      <c r="D24" s="7"/>
      <c r="E24" s="7"/>
      <c r="F24" s="34"/>
      <c r="M24" s="77"/>
      <c r="N24" s="96"/>
      <c r="O24" s="87"/>
      <c r="P24" s="61"/>
    </row>
    <row r="25" spans="2:16" ht="15.75" thickBot="1" x14ac:dyDescent="0.3">
      <c r="B25" s="22"/>
      <c r="C25" s="7"/>
      <c r="D25" s="7"/>
      <c r="E25" s="7"/>
      <c r="F25" s="34"/>
      <c r="M25" s="70"/>
      <c r="N25" s="97"/>
      <c r="O25" s="88"/>
      <c r="P25" s="62"/>
    </row>
    <row r="26" spans="2:16" x14ac:dyDescent="0.25">
      <c r="B26" s="22"/>
      <c r="C26" s="7"/>
      <c r="D26" s="7"/>
      <c r="E26" s="7"/>
      <c r="F26" s="34"/>
    </row>
    <row r="27" spans="2:16" x14ac:dyDescent="0.25">
      <c r="B27" s="22"/>
      <c r="C27" s="7"/>
      <c r="D27" s="7"/>
      <c r="E27" s="7"/>
      <c r="F27" s="34"/>
    </row>
    <row r="28" spans="2:16" x14ac:dyDescent="0.25">
      <c r="B28" s="22"/>
      <c r="C28" s="7"/>
      <c r="D28" s="7"/>
      <c r="E28" s="7"/>
      <c r="F28" s="34"/>
    </row>
    <row r="29" spans="2:16" x14ac:dyDescent="0.25">
      <c r="B29" s="22"/>
      <c r="C29" s="7"/>
      <c r="D29" s="7"/>
      <c r="E29" s="7"/>
      <c r="F29" s="34"/>
    </row>
    <row r="30" spans="2:16" x14ac:dyDescent="0.25">
      <c r="B30" s="22"/>
      <c r="C30" s="7"/>
      <c r="D30" s="7"/>
      <c r="E30" s="7"/>
      <c r="F30" s="34"/>
    </row>
    <row r="31" spans="2:16" x14ac:dyDescent="0.25">
      <c r="B31" s="22"/>
      <c r="C31" s="7"/>
      <c r="D31" s="7"/>
      <c r="E31" s="7"/>
      <c r="F31" s="34"/>
    </row>
    <row r="32" spans="2:16" ht="15.75" thickBot="1" x14ac:dyDescent="0.3">
      <c r="B32" s="23"/>
      <c r="C32" s="9"/>
      <c r="D32" s="9"/>
      <c r="E32" s="9"/>
      <c r="F32" s="35"/>
    </row>
    <row r="34" spans="2:9" ht="15.75" thickBot="1" x14ac:dyDescent="0.3"/>
    <row r="35" spans="2:9" x14ac:dyDescent="0.25">
      <c r="B35" s="72" t="s">
        <v>35</v>
      </c>
      <c r="C35" s="66" t="s">
        <v>120</v>
      </c>
      <c r="D35" s="67">
        <f>SUMIF($D$11:$D$32,C35,$F$11:$F$32)</f>
        <v>0</v>
      </c>
      <c r="H35" s="78" t="s">
        <v>111</v>
      </c>
      <c r="I35" s="67">
        <f>SUMIF($I$11:$I$22,H35,$K$11:$K$22)</f>
        <v>0</v>
      </c>
    </row>
    <row r="36" spans="2:9" ht="15.75" thickBot="1" x14ac:dyDescent="0.3">
      <c r="B36" s="73">
        <f>SUM(D35:D39)</f>
        <v>0</v>
      </c>
      <c r="C36" s="68" t="s">
        <v>80</v>
      </c>
      <c r="D36" s="69">
        <f t="shared" ref="D36:D88" si="0">SUMIF($D$11:$D$32,C36,$F$11:$F$32)</f>
        <v>0</v>
      </c>
      <c r="H36" s="79" t="s">
        <v>112</v>
      </c>
      <c r="I36" s="69">
        <f t="shared" ref="I36:I45" si="1">SUMIF($I$11:$I$22,H36,$K$11:$K$22)</f>
        <v>0</v>
      </c>
    </row>
    <row r="37" spans="2:9" x14ac:dyDescent="0.25">
      <c r="C37" s="68" t="s">
        <v>81</v>
      </c>
      <c r="D37" s="69">
        <f t="shared" si="0"/>
        <v>0</v>
      </c>
      <c r="H37" s="79" t="s">
        <v>113</v>
      </c>
      <c r="I37" s="69">
        <f t="shared" si="1"/>
        <v>0</v>
      </c>
    </row>
    <row r="38" spans="2:9" x14ac:dyDescent="0.25">
      <c r="C38" s="68" t="s">
        <v>36</v>
      </c>
      <c r="D38" s="69">
        <f t="shared" si="0"/>
        <v>0</v>
      </c>
      <c r="H38" s="79" t="s">
        <v>114</v>
      </c>
      <c r="I38" s="69">
        <f t="shared" si="1"/>
        <v>0</v>
      </c>
    </row>
    <row r="39" spans="2:9" ht="15.75" thickBot="1" x14ac:dyDescent="0.3">
      <c r="C39" s="76"/>
      <c r="D39" s="71">
        <f t="shared" si="0"/>
        <v>0</v>
      </c>
      <c r="H39" s="79" t="s">
        <v>115</v>
      </c>
      <c r="I39" s="69">
        <f t="shared" si="1"/>
        <v>0</v>
      </c>
    </row>
    <row r="40" spans="2:9" ht="15.75" thickBot="1" x14ac:dyDescent="0.3">
      <c r="C40" s="54"/>
      <c r="D40" s="63"/>
      <c r="H40" s="79" t="s">
        <v>116</v>
      </c>
      <c r="I40" s="69">
        <f t="shared" si="1"/>
        <v>0</v>
      </c>
    </row>
    <row r="41" spans="2:9" x14ac:dyDescent="0.25">
      <c r="B41" s="72" t="s">
        <v>21</v>
      </c>
      <c r="C41" s="66" t="s">
        <v>85</v>
      </c>
      <c r="D41" s="67">
        <f t="shared" si="0"/>
        <v>0</v>
      </c>
      <c r="H41" s="79" t="s">
        <v>117</v>
      </c>
      <c r="I41" s="69">
        <f t="shared" si="1"/>
        <v>0</v>
      </c>
    </row>
    <row r="42" spans="2:9" ht="15.75" thickBot="1" x14ac:dyDescent="0.3">
      <c r="B42" s="73">
        <f>SUBTOTAL(9,D41:D48)</f>
        <v>0</v>
      </c>
      <c r="C42" s="68" t="s">
        <v>22</v>
      </c>
      <c r="D42" s="69">
        <f t="shared" si="0"/>
        <v>0</v>
      </c>
      <c r="H42" s="79" t="s">
        <v>118</v>
      </c>
      <c r="I42" s="69">
        <f t="shared" si="1"/>
        <v>0</v>
      </c>
    </row>
    <row r="43" spans="2:9" x14ac:dyDescent="0.25">
      <c r="C43" s="68" t="s">
        <v>40</v>
      </c>
      <c r="D43" s="69">
        <f t="shared" si="0"/>
        <v>0</v>
      </c>
      <c r="H43" s="79" t="s">
        <v>84</v>
      </c>
      <c r="I43" s="69">
        <f t="shared" si="1"/>
        <v>0</v>
      </c>
    </row>
    <row r="44" spans="2:9" x14ac:dyDescent="0.25">
      <c r="C44" s="68" t="s">
        <v>87</v>
      </c>
      <c r="D44" s="69">
        <f t="shared" si="0"/>
        <v>0</v>
      </c>
      <c r="H44" s="79" t="s">
        <v>119</v>
      </c>
      <c r="I44" s="69">
        <f t="shared" si="1"/>
        <v>0</v>
      </c>
    </row>
    <row r="45" spans="2:9" ht="15.75" thickBot="1" x14ac:dyDescent="0.3">
      <c r="C45" s="68" t="s">
        <v>86</v>
      </c>
      <c r="D45" s="69">
        <f t="shared" si="0"/>
        <v>0</v>
      </c>
      <c r="H45" s="80"/>
      <c r="I45" s="71">
        <f t="shared" si="1"/>
        <v>0</v>
      </c>
    </row>
    <row r="46" spans="2:9" x14ac:dyDescent="0.25">
      <c r="C46" s="68" t="s">
        <v>43</v>
      </c>
      <c r="D46" s="69">
        <f t="shared" si="0"/>
        <v>0</v>
      </c>
    </row>
    <row r="47" spans="2:9" x14ac:dyDescent="0.25">
      <c r="C47" s="74"/>
      <c r="D47" s="75">
        <f t="shared" si="0"/>
        <v>0</v>
      </c>
    </row>
    <row r="48" spans="2:9" ht="15.75" thickBot="1" x14ac:dyDescent="0.3">
      <c r="C48" s="76"/>
      <c r="D48" s="71">
        <f t="shared" si="0"/>
        <v>0</v>
      </c>
    </row>
    <row r="49" spans="2:4" ht="15.75" thickBot="1" x14ac:dyDescent="0.3">
      <c r="D49" s="63"/>
    </row>
    <row r="50" spans="2:4" x14ac:dyDescent="0.25">
      <c r="B50" s="72" t="s">
        <v>27</v>
      </c>
      <c r="C50" s="66" t="s">
        <v>28</v>
      </c>
      <c r="D50" s="67">
        <f t="shared" si="0"/>
        <v>0</v>
      </c>
    </row>
    <row r="51" spans="2:4" ht="15.75" thickBot="1" x14ac:dyDescent="0.3">
      <c r="B51" s="73">
        <f>SUM(D50:D56)</f>
        <v>0</v>
      </c>
      <c r="C51" s="68" t="s">
        <v>88</v>
      </c>
      <c r="D51" s="69">
        <f t="shared" si="0"/>
        <v>0</v>
      </c>
    </row>
    <row r="52" spans="2:4" x14ac:dyDescent="0.25">
      <c r="C52" s="68" t="s">
        <v>89</v>
      </c>
      <c r="D52" s="69">
        <f t="shared" si="0"/>
        <v>0</v>
      </c>
    </row>
    <row r="53" spans="2:4" x14ac:dyDescent="0.25">
      <c r="C53" s="68" t="s">
        <v>51</v>
      </c>
      <c r="D53" s="69">
        <f t="shared" si="0"/>
        <v>0</v>
      </c>
    </row>
    <row r="54" spans="2:4" x14ac:dyDescent="0.25">
      <c r="C54" s="68" t="s">
        <v>90</v>
      </c>
      <c r="D54" s="69">
        <f t="shared" si="0"/>
        <v>0</v>
      </c>
    </row>
    <row r="55" spans="2:4" x14ac:dyDescent="0.25">
      <c r="C55" s="68" t="s">
        <v>58</v>
      </c>
      <c r="D55" s="69">
        <f t="shared" si="0"/>
        <v>0</v>
      </c>
    </row>
    <row r="56" spans="2:4" ht="15.75" thickBot="1" x14ac:dyDescent="0.3">
      <c r="C56" s="70"/>
      <c r="D56" s="71">
        <f t="shared" si="0"/>
        <v>0</v>
      </c>
    </row>
    <row r="57" spans="2:4" ht="15.75" thickBot="1" x14ac:dyDescent="0.3">
      <c r="D57" s="63"/>
    </row>
    <row r="58" spans="2:4" x14ac:dyDescent="0.25">
      <c r="B58" s="72" t="s">
        <v>24</v>
      </c>
      <c r="C58" s="66" t="s">
        <v>121</v>
      </c>
      <c r="D58" s="67">
        <f t="shared" si="0"/>
        <v>0</v>
      </c>
    </row>
    <row r="59" spans="2:4" ht="15.75" thickBot="1" x14ac:dyDescent="0.3">
      <c r="B59" s="73">
        <f>SUM(D58:D64)</f>
        <v>0</v>
      </c>
      <c r="C59" s="68" t="s">
        <v>32</v>
      </c>
      <c r="D59" s="69">
        <f t="shared" si="0"/>
        <v>0</v>
      </c>
    </row>
    <row r="60" spans="2:4" x14ac:dyDescent="0.25">
      <c r="C60" s="68" t="s">
        <v>91</v>
      </c>
      <c r="D60" s="69">
        <f t="shared" si="0"/>
        <v>0</v>
      </c>
    </row>
    <row r="61" spans="2:4" x14ac:dyDescent="0.25">
      <c r="C61" s="68" t="s">
        <v>92</v>
      </c>
      <c r="D61" s="69">
        <f t="shared" si="0"/>
        <v>0</v>
      </c>
    </row>
    <row r="62" spans="2:4" x14ac:dyDescent="0.25">
      <c r="C62" s="68" t="s">
        <v>93</v>
      </c>
      <c r="D62" s="69">
        <f t="shared" si="0"/>
        <v>0</v>
      </c>
    </row>
    <row r="63" spans="2:4" x14ac:dyDescent="0.25">
      <c r="C63" s="68" t="s">
        <v>25</v>
      </c>
      <c r="D63" s="69">
        <f t="shared" si="0"/>
        <v>0</v>
      </c>
    </row>
    <row r="64" spans="2:4" ht="15.75" thickBot="1" x14ac:dyDescent="0.3">
      <c r="C64" s="70"/>
      <c r="D64" s="71">
        <f t="shared" si="0"/>
        <v>0</v>
      </c>
    </row>
    <row r="65" spans="2:4" ht="15.75" thickBot="1" x14ac:dyDescent="0.3">
      <c r="D65" s="63"/>
    </row>
    <row r="66" spans="2:4" x14ac:dyDescent="0.25">
      <c r="B66" s="72" t="s">
        <v>83</v>
      </c>
      <c r="C66" s="66" t="s">
        <v>122</v>
      </c>
      <c r="D66" s="67">
        <f t="shared" si="0"/>
        <v>0</v>
      </c>
    </row>
    <row r="67" spans="2:4" ht="15.75" thickBot="1" x14ac:dyDescent="0.3">
      <c r="B67" s="73">
        <f>SUM(D66:D72)</f>
        <v>0</v>
      </c>
      <c r="C67" s="68" t="s">
        <v>95</v>
      </c>
      <c r="D67" s="69">
        <f t="shared" si="0"/>
        <v>0</v>
      </c>
    </row>
    <row r="68" spans="2:4" x14ac:dyDescent="0.25">
      <c r="C68" s="68" t="s">
        <v>96</v>
      </c>
      <c r="D68" s="69">
        <f t="shared" si="0"/>
        <v>0</v>
      </c>
    </row>
    <row r="69" spans="2:4" x14ac:dyDescent="0.25">
      <c r="C69" s="68" t="s">
        <v>123</v>
      </c>
      <c r="D69" s="69">
        <f t="shared" si="0"/>
        <v>0</v>
      </c>
    </row>
    <row r="70" spans="2:4" x14ac:dyDescent="0.25">
      <c r="C70" s="68" t="s">
        <v>98</v>
      </c>
      <c r="D70" s="69">
        <f t="shared" si="0"/>
        <v>0</v>
      </c>
    </row>
    <row r="71" spans="2:4" x14ac:dyDescent="0.25">
      <c r="C71" s="68" t="s">
        <v>99</v>
      </c>
      <c r="D71" s="69">
        <f t="shared" si="0"/>
        <v>0</v>
      </c>
    </row>
    <row r="72" spans="2:4" ht="15.75" thickBot="1" x14ac:dyDescent="0.3">
      <c r="C72" s="70"/>
      <c r="D72" s="71">
        <f t="shared" si="0"/>
        <v>0</v>
      </c>
    </row>
    <row r="73" spans="2:4" ht="15.75" thickBot="1" x14ac:dyDescent="0.3">
      <c r="D73" s="63"/>
    </row>
    <row r="74" spans="2:4" x14ac:dyDescent="0.25">
      <c r="B74" s="72" t="s">
        <v>84</v>
      </c>
      <c r="C74" s="66" t="s">
        <v>100</v>
      </c>
      <c r="D74" s="67">
        <f t="shared" si="0"/>
        <v>0</v>
      </c>
    </row>
    <row r="75" spans="2:4" ht="15.75" thickBot="1" x14ac:dyDescent="0.3">
      <c r="B75" s="73">
        <f>SUM(D74:D80)</f>
        <v>0</v>
      </c>
      <c r="C75" s="68" t="s">
        <v>101</v>
      </c>
      <c r="D75" s="69">
        <f t="shared" si="0"/>
        <v>0</v>
      </c>
    </row>
    <row r="76" spans="2:4" x14ac:dyDescent="0.25">
      <c r="C76" s="68" t="s">
        <v>103</v>
      </c>
      <c r="D76" s="69">
        <f t="shared" si="0"/>
        <v>0</v>
      </c>
    </row>
    <row r="77" spans="2:4" x14ac:dyDescent="0.25">
      <c r="C77" s="68" t="s">
        <v>105</v>
      </c>
      <c r="D77" s="69">
        <f t="shared" si="0"/>
        <v>0</v>
      </c>
    </row>
    <row r="78" spans="2:4" x14ac:dyDescent="0.25">
      <c r="C78" s="68"/>
      <c r="D78" s="69">
        <f t="shared" si="0"/>
        <v>0</v>
      </c>
    </row>
    <row r="79" spans="2:4" x14ac:dyDescent="0.25">
      <c r="C79" s="68"/>
      <c r="D79" s="69">
        <f t="shared" si="0"/>
        <v>0</v>
      </c>
    </row>
    <row r="80" spans="2:4" ht="15.75" thickBot="1" x14ac:dyDescent="0.3">
      <c r="C80" s="70"/>
      <c r="D80" s="71">
        <f t="shared" si="0"/>
        <v>0</v>
      </c>
    </row>
    <row r="81" spans="2:4" ht="15.75" thickBot="1" x14ac:dyDescent="0.3">
      <c r="D81" s="63"/>
    </row>
    <row r="82" spans="2:4" x14ac:dyDescent="0.25">
      <c r="B82" s="72" t="s">
        <v>45</v>
      </c>
      <c r="C82" s="66" t="s">
        <v>106</v>
      </c>
      <c r="D82" s="67">
        <f t="shared" si="0"/>
        <v>0</v>
      </c>
    </row>
    <row r="83" spans="2:4" ht="15.75" thickBot="1" x14ac:dyDescent="0.3">
      <c r="B83" s="73">
        <f>SUM(D82:D88)</f>
        <v>0</v>
      </c>
      <c r="C83" s="68" t="s">
        <v>107</v>
      </c>
      <c r="D83" s="69">
        <f>SUMIF($D$11:$D$32,C83,$F$11:$F$32)</f>
        <v>0</v>
      </c>
    </row>
    <row r="84" spans="2:4" x14ac:dyDescent="0.25">
      <c r="C84" s="68" t="s">
        <v>108</v>
      </c>
      <c r="D84" s="69">
        <f t="shared" si="0"/>
        <v>0</v>
      </c>
    </row>
    <row r="85" spans="2:4" x14ac:dyDescent="0.25">
      <c r="C85" s="68" t="s">
        <v>109</v>
      </c>
      <c r="D85" s="69">
        <f t="shared" si="0"/>
        <v>0</v>
      </c>
    </row>
    <row r="86" spans="2:4" x14ac:dyDescent="0.25">
      <c r="C86" s="68" t="s">
        <v>110</v>
      </c>
      <c r="D86" s="69">
        <f t="shared" si="0"/>
        <v>0</v>
      </c>
    </row>
    <row r="87" spans="2:4" x14ac:dyDescent="0.25">
      <c r="C87" s="68" t="s">
        <v>46</v>
      </c>
      <c r="D87" s="69">
        <f t="shared" si="0"/>
        <v>0</v>
      </c>
    </row>
    <row r="88" spans="2:4" ht="15.75" thickBot="1" x14ac:dyDescent="0.3">
      <c r="C88" s="70"/>
      <c r="D88" s="71">
        <f t="shared" si="0"/>
        <v>0</v>
      </c>
    </row>
  </sheetData>
  <mergeCells count="3">
    <mergeCell ref="H2:K2"/>
    <mergeCell ref="B9:F9"/>
    <mergeCell ref="H9:K9"/>
  </mergeCells>
  <dataValidations count="1">
    <dataValidation type="list" allowBlank="1" showInputMessage="1" showErrorMessage="1" sqref="D11:D32">
      <formula1>INDIRECT(C11)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Modelo!$P$3:$P$10</xm:f>
          </x14:formula1>
          <xm:sqref>C11:C32</xm:sqref>
        </x14:dataValidation>
        <x14:dataValidation type="list" allowBlank="1" showInputMessage="1" showErrorMessage="1">
          <x14:formula1>
            <xm:f>Modelo!$R$3:$R$14</xm:f>
          </x14:formula1>
          <xm:sqref>I11:I22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1:P88"/>
  <sheetViews>
    <sheetView showGridLines="0" topLeftCell="A27" zoomScale="70" zoomScaleNormal="70" workbookViewId="0">
      <selection activeCell="F4" sqref="F4"/>
    </sheetView>
  </sheetViews>
  <sheetFormatPr defaultRowHeight="15" x14ac:dyDescent="0.25"/>
  <cols>
    <col min="1" max="1" width="3" customWidth="1"/>
    <col min="2" max="2" width="12.140625" bestFit="1" customWidth="1"/>
    <col min="3" max="3" width="41.5703125" bestFit="1" customWidth="1"/>
    <col min="4" max="4" width="10.42578125" bestFit="1" customWidth="1"/>
    <col min="5" max="5" width="9.28515625" bestFit="1" customWidth="1"/>
    <col min="6" max="6" width="13.7109375" bestFit="1" customWidth="1"/>
    <col min="7" max="7" width="2.5703125" customWidth="1"/>
    <col min="8" max="8" width="17.85546875" bestFit="1" customWidth="1"/>
    <col min="9" max="9" width="13.7109375" bestFit="1" customWidth="1"/>
    <col min="10" max="11" width="11.85546875" customWidth="1"/>
    <col min="13" max="16" width="12" customWidth="1"/>
  </cols>
  <sheetData>
    <row r="1" spans="2:16" ht="15.75" thickBot="1" x14ac:dyDescent="0.3"/>
    <row r="2" spans="2:16" ht="15.75" thickBot="1" x14ac:dyDescent="0.3">
      <c r="B2" s="11" t="s">
        <v>17</v>
      </c>
      <c r="C2" s="32" t="s">
        <v>1</v>
      </c>
      <c r="D2" s="31" t="s">
        <v>2</v>
      </c>
      <c r="F2" s="5" t="s">
        <v>3</v>
      </c>
      <c r="H2" s="128"/>
      <c r="I2" s="128"/>
      <c r="J2" s="128"/>
      <c r="K2" s="128"/>
    </row>
    <row r="3" spans="2:16" ht="15.75" thickBot="1" x14ac:dyDescent="0.3">
      <c r="B3" s="10" t="s">
        <v>4</v>
      </c>
      <c r="C3" s="29"/>
      <c r="D3" s="30"/>
      <c r="F3" s="38">
        <f>SUM(D3,D5,D6,D7,D4)</f>
        <v>0</v>
      </c>
      <c r="I3" s="11" t="s">
        <v>5</v>
      </c>
    </row>
    <row r="4" spans="2:16" ht="15.75" thickBot="1" x14ac:dyDescent="0.3">
      <c r="B4" s="6" t="s">
        <v>128</v>
      </c>
      <c r="C4" s="7"/>
      <c r="D4" s="26">
        <f>SUM(P10:P25)</f>
        <v>0</v>
      </c>
      <c r="F4" s="37">
        <f>SUM(F11:F32)</f>
        <v>0</v>
      </c>
      <c r="I4" s="15">
        <f ca="1">TODAY()</f>
        <v>46002</v>
      </c>
    </row>
    <row r="5" spans="2:16" ht="15.75" thickBot="1" x14ac:dyDescent="0.3">
      <c r="B5" s="24" t="s">
        <v>6</v>
      </c>
      <c r="C5" s="25"/>
      <c r="D5" s="27"/>
      <c r="F5" s="98">
        <f>D4</f>
        <v>0</v>
      </c>
      <c r="I5" s="17" t="s">
        <v>7</v>
      </c>
    </row>
    <row r="6" spans="2:16" ht="15.75" thickBot="1" x14ac:dyDescent="0.3">
      <c r="B6" s="24" t="s">
        <v>132</v>
      </c>
      <c r="C6" s="25"/>
      <c r="D6" s="27"/>
      <c r="F6" s="36">
        <f>SUM(K11:K22)</f>
        <v>0</v>
      </c>
      <c r="I6" s="14">
        <v>45847</v>
      </c>
    </row>
    <row r="7" spans="2:16" ht="15.75" thickBot="1" x14ac:dyDescent="0.3">
      <c r="B7" s="8" t="s">
        <v>15</v>
      </c>
      <c r="C7" s="9"/>
      <c r="D7" s="28">
        <f>Mar!F7</f>
        <v>0</v>
      </c>
      <c r="F7" s="39">
        <f>F3-F4-F6</f>
        <v>0</v>
      </c>
    </row>
    <row r="8" spans="2:16" ht="15.75" thickBot="1" x14ac:dyDescent="0.3"/>
    <row r="9" spans="2:16" ht="15.75" thickBot="1" x14ac:dyDescent="0.3">
      <c r="B9" s="124" t="s">
        <v>8</v>
      </c>
      <c r="C9" s="125"/>
      <c r="D9" s="125"/>
      <c r="E9" s="125"/>
      <c r="F9" s="126"/>
      <c r="H9" s="127" t="s">
        <v>9</v>
      </c>
      <c r="I9" s="127"/>
      <c r="J9" s="127"/>
      <c r="K9" s="127"/>
      <c r="M9" s="91" t="s">
        <v>129</v>
      </c>
      <c r="N9" s="92" t="s">
        <v>130</v>
      </c>
      <c r="O9" s="93" t="s">
        <v>131</v>
      </c>
      <c r="P9" s="94" t="s">
        <v>74</v>
      </c>
    </row>
    <row r="10" spans="2:16" ht="15.75" thickBot="1" x14ac:dyDescent="0.3">
      <c r="B10" s="5" t="s">
        <v>5</v>
      </c>
      <c r="C10" s="5" t="s">
        <v>10</v>
      </c>
      <c r="D10" s="5" t="s">
        <v>11</v>
      </c>
      <c r="E10" s="5" t="s">
        <v>12</v>
      </c>
      <c r="F10" s="5" t="s">
        <v>2</v>
      </c>
      <c r="H10" s="5" t="s">
        <v>5</v>
      </c>
      <c r="I10" s="5" t="s">
        <v>13</v>
      </c>
      <c r="J10" s="5" t="s">
        <v>11</v>
      </c>
      <c r="K10" s="5" t="s">
        <v>2</v>
      </c>
      <c r="M10" s="89"/>
      <c r="N10" s="95"/>
      <c r="O10" s="90"/>
      <c r="P10" s="60"/>
    </row>
    <row r="11" spans="2:16" x14ac:dyDescent="0.25">
      <c r="B11" s="21"/>
      <c r="C11" s="16"/>
      <c r="D11" s="16"/>
      <c r="E11" s="16"/>
      <c r="F11" s="33"/>
      <c r="H11" s="18"/>
      <c r="I11" s="13"/>
      <c r="J11" s="13"/>
      <c r="K11" s="60"/>
      <c r="M11" s="77"/>
      <c r="N11" s="96"/>
      <c r="O11" s="87"/>
      <c r="P11" s="61"/>
    </row>
    <row r="12" spans="2:16" x14ac:dyDescent="0.25">
      <c r="B12" s="22"/>
      <c r="C12" s="7"/>
      <c r="D12" s="7"/>
      <c r="E12" s="7"/>
      <c r="F12" s="34"/>
      <c r="H12" s="19"/>
      <c r="I12" s="13"/>
      <c r="J12" s="1"/>
      <c r="K12" s="61"/>
      <c r="M12" s="77"/>
      <c r="N12" s="96"/>
      <c r="O12" s="87"/>
      <c r="P12" s="61"/>
    </row>
    <row r="13" spans="2:16" x14ac:dyDescent="0.25">
      <c r="B13" s="22"/>
      <c r="C13" s="7"/>
      <c r="D13" s="7"/>
      <c r="E13" s="7"/>
      <c r="F13" s="34"/>
      <c r="H13" s="19"/>
      <c r="I13" s="13"/>
      <c r="J13" s="1"/>
      <c r="K13" s="61"/>
      <c r="M13" s="77"/>
      <c r="N13" s="96"/>
      <c r="O13" s="87"/>
      <c r="P13" s="61"/>
    </row>
    <row r="14" spans="2:16" x14ac:dyDescent="0.25">
      <c r="B14" s="22"/>
      <c r="C14" s="7"/>
      <c r="D14" s="7"/>
      <c r="E14" s="7"/>
      <c r="F14" s="34"/>
      <c r="H14" s="19"/>
      <c r="I14" s="13"/>
      <c r="J14" s="1"/>
      <c r="K14" s="61"/>
      <c r="M14" s="77"/>
      <c r="N14" s="96"/>
      <c r="O14" s="87"/>
      <c r="P14" s="61"/>
    </row>
    <row r="15" spans="2:16" x14ac:dyDescent="0.25">
      <c r="B15" s="22"/>
      <c r="C15" s="7"/>
      <c r="D15" s="7"/>
      <c r="E15" s="7"/>
      <c r="F15" s="34"/>
      <c r="H15" s="19"/>
      <c r="I15" s="13"/>
      <c r="J15" s="1"/>
      <c r="K15" s="61"/>
      <c r="M15" s="77"/>
      <c r="N15" s="96"/>
      <c r="O15" s="87"/>
      <c r="P15" s="61"/>
    </row>
    <row r="16" spans="2:16" x14ac:dyDescent="0.25">
      <c r="B16" s="22"/>
      <c r="C16" s="7"/>
      <c r="D16" s="7"/>
      <c r="E16" s="7"/>
      <c r="F16" s="34"/>
      <c r="H16" s="19"/>
      <c r="I16" s="13"/>
      <c r="J16" s="1"/>
      <c r="K16" s="61"/>
      <c r="M16" s="77"/>
      <c r="N16" s="96"/>
      <c r="O16" s="87"/>
      <c r="P16" s="61"/>
    </row>
    <row r="17" spans="2:16" x14ac:dyDescent="0.25">
      <c r="B17" s="22"/>
      <c r="C17" s="7"/>
      <c r="D17" s="7"/>
      <c r="E17" s="7"/>
      <c r="F17" s="34"/>
      <c r="H17" s="19"/>
      <c r="I17" s="13"/>
      <c r="J17" s="1"/>
      <c r="K17" s="61"/>
      <c r="M17" s="77"/>
      <c r="N17" s="96"/>
      <c r="O17" s="87"/>
      <c r="P17" s="61"/>
    </row>
    <row r="18" spans="2:16" x14ac:dyDescent="0.25">
      <c r="B18" s="22"/>
      <c r="C18" s="7"/>
      <c r="D18" s="7"/>
      <c r="E18" s="7"/>
      <c r="F18" s="34"/>
      <c r="H18" s="19"/>
      <c r="I18" s="13"/>
      <c r="J18" s="1"/>
      <c r="K18" s="61"/>
      <c r="M18" s="77"/>
      <c r="N18" s="96"/>
      <c r="O18" s="87"/>
      <c r="P18" s="61"/>
    </row>
    <row r="19" spans="2:16" x14ac:dyDescent="0.25">
      <c r="B19" s="22"/>
      <c r="C19" s="7"/>
      <c r="D19" s="7"/>
      <c r="E19" s="7"/>
      <c r="F19" s="34"/>
      <c r="H19" s="19"/>
      <c r="I19" s="13"/>
      <c r="J19" s="1"/>
      <c r="K19" s="61"/>
      <c r="M19" s="77"/>
      <c r="N19" s="96"/>
      <c r="O19" s="87"/>
      <c r="P19" s="61"/>
    </row>
    <row r="20" spans="2:16" x14ac:dyDescent="0.25">
      <c r="B20" s="22"/>
      <c r="C20" s="7"/>
      <c r="D20" s="7"/>
      <c r="E20" s="7"/>
      <c r="F20" s="34"/>
      <c r="H20" s="19"/>
      <c r="I20" s="13"/>
      <c r="J20" s="1"/>
      <c r="K20" s="61"/>
      <c r="M20" s="77"/>
      <c r="N20" s="96"/>
      <c r="O20" s="87"/>
      <c r="P20" s="61"/>
    </row>
    <row r="21" spans="2:16" x14ac:dyDescent="0.25">
      <c r="B21" s="22"/>
      <c r="C21" s="7"/>
      <c r="D21" s="7"/>
      <c r="E21" s="7"/>
      <c r="F21" s="34"/>
      <c r="H21" s="19"/>
      <c r="I21" s="13"/>
      <c r="J21" s="1"/>
      <c r="K21" s="61"/>
      <c r="M21" s="77"/>
      <c r="N21" s="96"/>
      <c r="O21" s="87"/>
      <c r="P21" s="61"/>
    </row>
    <row r="22" spans="2:16" ht="15.75" thickBot="1" x14ac:dyDescent="0.3">
      <c r="B22" s="22"/>
      <c r="C22" s="7"/>
      <c r="D22" s="7"/>
      <c r="E22" s="7"/>
      <c r="F22" s="34"/>
      <c r="H22" s="20"/>
      <c r="I22" s="3"/>
      <c r="J22" s="3"/>
      <c r="K22" s="62"/>
      <c r="M22" s="77"/>
      <c r="N22" s="96"/>
      <c r="O22" s="87"/>
      <c r="P22" s="61"/>
    </row>
    <row r="23" spans="2:16" x14ac:dyDescent="0.25">
      <c r="B23" s="22"/>
      <c r="C23" s="7"/>
      <c r="D23" s="7"/>
      <c r="E23" s="7"/>
      <c r="F23" s="34"/>
      <c r="M23" s="77"/>
      <c r="N23" s="96"/>
      <c r="O23" s="87"/>
      <c r="P23" s="61"/>
    </row>
    <row r="24" spans="2:16" x14ac:dyDescent="0.25">
      <c r="B24" s="22"/>
      <c r="C24" s="7"/>
      <c r="D24" s="7"/>
      <c r="E24" s="7"/>
      <c r="F24" s="34"/>
      <c r="M24" s="77"/>
      <c r="N24" s="96"/>
      <c r="O24" s="87"/>
      <c r="P24" s="61"/>
    </row>
    <row r="25" spans="2:16" ht="15.75" thickBot="1" x14ac:dyDescent="0.3">
      <c r="B25" s="22"/>
      <c r="C25" s="7"/>
      <c r="D25" s="7"/>
      <c r="E25" s="7"/>
      <c r="F25" s="34"/>
      <c r="M25" s="70"/>
      <c r="N25" s="97"/>
      <c r="O25" s="88"/>
      <c r="P25" s="62"/>
    </row>
    <row r="26" spans="2:16" x14ac:dyDescent="0.25">
      <c r="B26" s="22"/>
      <c r="C26" s="7"/>
      <c r="D26" s="7"/>
      <c r="E26" s="7"/>
      <c r="F26" s="34"/>
    </row>
    <row r="27" spans="2:16" x14ac:dyDescent="0.25">
      <c r="B27" s="22"/>
      <c r="C27" s="7"/>
      <c r="D27" s="7"/>
      <c r="E27" s="7"/>
      <c r="F27" s="34"/>
    </row>
    <row r="28" spans="2:16" x14ac:dyDescent="0.25">
      <c r="B28" s="22"/>
      <c r="C28" s="7"/>
      <c r="D28" s="7"/>
      <c r="E28" s="7"/>
      <c r="F28" s="34"/>
    </row>
    <row r="29" spans="2:16" x14ac:dyDescent="0.25">
      <c r="B29" s="22"/>
      <c r="C29" s="7"/>
      <c r="D29" s="7"/>
      <c r="E29" s="7"/>
      <c r="F29" s="34"/>
    </row>
    <row r="30" spans="2:16" x14ac:dyDescent="0.25">
      <c r="B30" s="22"/>
      <c r="C30" s="7"/>
      <c r="D30" s="7"/>
      <c r="E30" s="7"/>
      <c r="F30" s="34"/>
    </row>
    <row r="31" spans="2:16" x14ac:dyDescent="0.25">
      <c r="B31" s="22"/>
      <c r="C31" s="7"/>
      <c r="D31" s="7"/>
      <c r="E31" s="7"/>
      <c r="F31" s="34"/>
    </row>
    <row r="32" spans="2:16" ht="15.75" thickBot="1" x14ac:dyDescent="0.3">
      <c r="B32" s="23"/>
      <c r="C32" s="9"/>
      <c r="D32" s="9"/>
      <c r="E32" s="9"/>
      <c r="F32" s="35"/>
    </row>
    <row r="34" spans="2:9" ht="15.75" thickBot="1" x14ac:dyDescent="0.3"/>
    <row r="35" spans="2:9" x14ac:dyDescent="0.25">
      <c r="B35" s="72" t="s">
        <v>35</v>
      </c>
      <c r="C35" s="66" t="s">
        <v>120</v>
      </c>
      <c r="D35" s="67">
        <f>SUMIF($D$11:$D$32,C35,$F$11:$F$32)</f>
        <v>0</v>
      </c>
      <c r="H35" s="78" t="s">
        <v>111</v>
      </c>
      <c r="I35" s="67">
        <f>SUMIF($I$11:$I$22,H35,$K$11:$K$22)</f>
        <v>0</v>
      </c>
    </row>
    <row r="36" spans="2:9" ht="15.75" thickBot="1" x14ac:dyDescent="0.3">
      <c r="B36" s="73">
        <f>SUM(D35:D39)</f>
        <v>0</v>
      </c>
      <c r="C36" s="68" t="s">
        <v>80</v>
      </c>
      <c r="D36" s="69">
        <f t="shared" ref="D36:D88" si="0">SUMIF($D$11:$D$32,C36,$F$11:$F$32)</f>
        <v>0</v>
      </c>
      <c r="H36" s="79" t="s">
        <v>112</v>
      </c>
      <c r="I36" s="69">
        <f t="shared" ref="I36:I45" si="1">SUMIF($I$11:$I$22,H36,$K$11:$K$22)</f>
        <v>0</v>
      </c>
    </row>
    <row r="37" spans="2:9" x14ac:dyDescent="0.25">
      <c r="C37" s="68" t="s">
        <v>81</v>
      </c>
      <c r="D37" s="69">
        <f t="shared" si="0"/>
        <v>0</v>
      </c>
      <c r="H37" s="79" t="s">
        <v>113</v>
      </c>
      <c r="I37" s="69">
        <f t="shared" si="1"/>
        <v>0</v>
      </c>
    </row>
    <row r="38" spans="2:9" x14ac:dyDescent="0.25">
      <c r="C38" s="68" t="s">
        <v>36</v>
      </c>
      <c r="D38" s="69">
        <f t="shared" si="0"/>
        <v>0</v>
      </c>
      <c r="H38" s="79" t="s">
        <v>114</v>
      </c>
      <c r="I38" s="69">
        <f t="shared" si="1"/>
        <v>0</v>
      </c>
    </row>
    <row r="39" spans="2:9" ht="15.75" thickBot="1" x14ac:dyDescent="0.3">
      <c r="C39" s="76"/>
      <c r="D39" s="71">
        <f t="shared" si="0"/>
        <v>0</v>
      </c>
      <c r="H39" s="79" t="s">
        <v>115</v>
      </c>
      <c r="I39" s="69">
        <f t="shared" si="1"/>
        <v>0</v>
      </c>
    </row>
    <row r="40" spans="2:9" ht="15.75" thickBot="1" x14ac:dyDescent="0.3">
      <c r="C40" s="54"/>
      <c r="D40" s="63"/>
      <c r="H40" s="79" t="s">
        <v>116</v>
      </c>
      <c r="I40" s="69">
        <f t="shared" si="1"/>
        <v>0</v>
      </c>
    </row>
    <row r="41" spans="2:9" x14ac:dyDescent="0.25">
      <c r="B41" s="72" t="s">
        <v>21</v>
      </c>
      <c r="C41" s="66" t="s">
        <v>85</v>
      </c>
      <c r="D41" s="67">
        <f t="shared" si="0"/>
        <v>0</v>
      </c>
      <c r="H41" s="79" t="s">
        <v>117</v>
      </c>
      <c r="I41" s="69">
        <f t="shared" si="1"/>
        <v>0</v>
      </c>
    </row>
    <row r="42" spans="2:9" ht="15.75" thickBot="1" x14ac:dyDescent="0.3">
      <c r="B42" s="73">
        <f>SUBTOTAL(9,D41:D48)</f>
        <v>0</v>
      </c>
      <c r="C42" s="68" t="s">
        <v>22</v>
      </c>
      <c r="D42" s="69">
        <f t="shared" si="0"/>
        <v>0</v>
      </c>
      <c r="H42" s="79" t="s">
        <v>118</v>
      </c>
      <c r="I42" s="69">
        <f t="shared" si="1"/>
        <v>0</v>
      </c>
    </row>
    <row r="43" spans="2:9" x14ac:dyDescent="0.25">
      <c r="C43" s="68" t="s">
        <v>40</v>
      </c>
      <c r="D43" s="69">
        <f t="shared" si="0"/>
        <v>0</v>
      </c>
      <c r="H43" s="79" t="s">
        <v>84</v>
      </c>
      <c r="I43" s="69">
        <f t="shared" si="1"/>
        <v>0</v>
      </c>
    </row>
    <row r="44" spans="2:9" x14ac:dyDescent="0.25">
      <c r="C44" s="68" t="s">
        <v>87</v>
      </c>
      <c r="D44" s="69">
        <f t="shared" si="0"/>
        <v>0</v>
      </c>
      <c r="H44" s="79" t="s">
        <v>119</v>
      </c>
      <c r="I44" s="69">
        <f t="shared" si="1"/>
        <v>0</v>
      </c>
    </row>
    <row r="45" spans="2:9" ht="15.75" thickBot="1" x14ac:dyDescent="0.3">
      <c r="C45" s="68" t="s">
        <v>86</v>
      </c>
      <c r="D45" s="69">
        <f t="shared" si="0"/>
        <v>0</v>
      </c>
      <c r="H45" s="80"/>
      <c r="I45" s="71">
        <f t="shared" si="1"/>
        <v>0</v>
      </c>
    </row>
    <row r="46" spans="2:9" x14ac:dyDescent="0.25">
      <c r="C46" s="68" t="s">
        <v>43</v>
      </c>
      <c r="D46" s="69">
        <f t="shared" si="0"/>
        <v>0</v>
      </c>
    </row>
    <row r="47" spans="2:9" x14ac:dyDescent="0.25">
      <c r="C47" s="74"/>
      <c r="D47" s="75">
        <f t="shared" si="0"/>
        <v>0</v>
      </c>
    </row>
    <row r="48" spans="2:9" ht="15.75" thickBot="1" x14ac:dyDescent="0.3">
      <c r="C48" s="76"/>
      <c r="D48" s="71">
        <f t="shared" si="0"/>
        <v>0</v>
      </c>
    </row>
    <row r="49" spans="2:4" ht="15.75" thickBot="1" x14ac:dyDescent="0.3">
      <c r="D49" s="63"/>
    </row>
    <row r="50" spans="2:4" x14ac:dyDescent="0.25">
      <c r="B50" s="72" t="s">
        <v>27</v>
      </c>
      <c r="C50" s="66" t="s">
        <v>28</v>
      </c>
      <c r="D50" s="67">
        <f t="shared" si="0"/>
        <v>0</v>
      </c>
    </row>
    <row r="51" spans="2:4" ht="15.75" thickBot="1" x14ac:dyDescent="0.3">
      <c r="B51" s="73">
        <f>SUM(D50:D56)</f>
        <v>0</v>
      </c>
      <c r="C51" s="68" t="s">
        <v>88</v>
      </c>
      <c r="D51" s="69">
        <f t="shared" si="0"/>
        <v>0</v>
      </c>
    </row>
    <row r="52" spans="2:4" x14ac:dyDescent="0.25">
      <c r="C52" s="68" t="s">
        <v>89</v>
      </c>
      <c r="D52" s="69">
        <f t="shared" si="0"/>
        <v>0</v>
      </c>
    </row>
    <row r="53" spans="2:4" x14ac:dyDescent="0.25">
      <c r="C53" s="68" t="s">
        <v>51</v>
      </c>
      <c r="D53" s="69">
        <f t="shared" si="0"/>
        <v>0</v>
      </c>
    </row>
    <row r="54" spans="2:4" x14ac:dyDescent="0.25">
      <c r="C54" s="68" t="s">
        <v>90</v>
      </c>
      <c r="D54" s="69">
        <f t="shared" si="0"/>
        <v>0</v>
      </c>
    </row>
    <row r="55" spans="2:4" x14ac:dyDescent="0.25">
      <c r="C55" s="68" t="s">
        <v>58</v>
      </c>
      <c r="D55" s="69">
        <f t="shared" si="0"/>
        <v>0</v>
      </c>
    </row>
    <row r="56" spans="2:4" ht="15.75" thickBot="1" x14ac:dyDescent="0.3">
      <c r="C56" s="70"/>
      <c r="D56" s="71">
        <f t="shared" si="0"/>
        <v>0</v>
      </c>
    </row>
    <row r="57" spans="2:4" ht="15.75" thickBot="1" x14ac:dyDescent="0.3">
      <c r="D57" s="63"/>
    </row>
    <row r="58" spans="2:4" x14ac:dyDescent="0.25">
      <c r="B58" s="72" t="s">
        <v>24</v>
      </c>
      <c r="C58" s="66" t="s">
        <v>121</v>
      </c>
      <c r="D58" s="67">
        <f t="shared" si="0"/>
        <v>0</v>
      </c>
    </row>
    <row r="59" spans="2:4" ht="15.75" thickBot="1" x14ac:dyDescent="0.3">
      <c r="B59" s="73">
        <f>SUM(D58:D64)</f>
        <v>0</v>
      </c>
      <c r="C59" s="68" t="s">
        <v>32</v>
      </c>
      <c r="D59" s="69">
        <f t="shared" si="0"/>
        <v>0</v>
      </c>
    </row>
    <row r="60" spans="2:4" x14ac:dyDescent="0.25">
      <c r="C60" s="68" t="s">
        <v>91</v>
      </c>
      <c r="D60" s="69">
        <f t="shared" si="0"/>
        <v>0</v>
      </c>
    </row>
    <row r="61" spans="2:4" x14ac:dyDescent="0.25">
      <c r="C61" s="68" t="s">
        <v>92</v>
      </c>
      <c r="D61" s="69">
        <f t="shared" si="0"/>
        <v>0</v>
      </c>
    </row>
    <row r="62" spans="2:4" x14ac:dyDescent="0.25">
      <c r="C62" s="68" t="s">
        <v>93</v>
      </c>
      <c r="D62" s="69">
        <f t="shared" si="0"/>
        <v>0</v>
      </c>
    </row>
    <row r="63" spans="2:4" x14ac:dyDescent="0.25">
      <c r="C63" s="68" t="s">
        <v>25</v>
      </c>
      <c r="D63" s="69">
        <f t="shared" si="0"/>
        <v>0</v>
      </c>
    </row>
    <row r="64" spans="2:4" ht="15.75" thickBot="1" x14ac:dyDescent="0.3">
      <c r="C64" s="70"/>
      <c r="D64" s="71">
        <f t="shared" si="0"/>
        <v>0</v>
      </c>
    </row>
    <row r="65" spans="2:4" ht="15.75" thickBot="1" x14ac:dyDescent="0.3">
      <c r="D65" s="63"/>
    </row>
    <row r="66" spans="2:4" x14ac:dyDescent="0.25">
      <c r="B66" s="72" t="s">
        <v>83</v>
      </c>
      <c r="C66" s="66" t="s">
        <v>122</v>
      </c>
      <c r="D66" s="67">
        <f t="shared" si="0"/>
        <v>0</v>
      </c>
    </row>
    <row r="67" spans="2:4" ht="15.75" thickBot="1" x14ac:dyDescent="0.3">
      <c r="B67" s="73">
        <f>SUM(D66:D72)</f>
        <v>0</v>
      </c>
      <c r="C67" s="68" t="s">
        <v>95</v>
      </c>
      <c r="D67" s="69">
        <f t="shared" si="0"/>
        <v>0</v>
      </c>
    </row>
    <row r="68" spans="2:4" x14ac:dyDescent="0.25">
      <c r="C68" s="68" t="s">
        <v>96</v>
      </c>
      <c r="D68" s="69">
        <f t="shared" si="0"/>
        <v>0</v>
      </c>
    </row>
    <row r="69" spans="2:4" x14ac:dyDescent="0.25">
      <c r="C69" s="68" t="s">
        <v>123</v>
      </c>
      <c r="D69" s="69">
        <f t="shared" si="0"/>
        <v>0</v>
      </c>
    </row>
    <row r="70" spans="2:4" x14ac:dyDescent="0.25">
      <c r="C70" s="68" t="s">
        <v>98</v>
      </c>
      <c r="D70" s="69">
        <f t="shared" si="0"/>
        <v>0</v>
      </c>
    </row>
    <row r="71" spans="2:4" x14ac:dyDescent="0.25">
      <c r="C71" s="68" t="s">
        <v>99</v>
      </c>
      <c r="D71" s="69">
        <f t="shared" si="0"/>
        <v>0</v>
      </c>
    </row>
    <row r="72" spans="2:4" ht="15.75" thickBot="1" x14ac:dyDescent="0.3">
      <c r="C72" s="70"/>
      <c r="D72" s="71">
        <f t="shared" si="0"/>
        <v>0</v>
      </c>
    </row>
    <row r="73" spans="2:4" ht="15.75" thickBot="1" x14ac:dyDescent="0.3">
      <c r="D73" s="63"/>
    </row>
    <row r="74" spans="2:4" x14ac:dyDescent="0.25">
      <c r="B74" s="72" t="s">
        <v>84</v>
      </c>
      <c r="C74" s="66" t="s">
        <v>100</v>
      </c>
      <c r="D74" s="67">
        <f t="shared" si="0"/>
        <v>0</v>
      </c>
    </row>
    <row r="75" spans="2:4" ht="15.75" thickBot="1" x14ac:dyDescent="0.3">
      <c r="B75" s="73">
        <f>SUM(D74:D80)</f>
        <v>0</v>
      </c>
      <c r="C75" s="68" t="s">
        <v>101</v>
      </c>
      <c r="D75" s="69">
        <f t="shared" si="0"/>
        <v>0</v>
      </c>
    </row>
    <row r="76" spans="2:4" x14ac:dyDescent="0.25">
      <c r="C76" s="68" t="s">
        <v>103</v>
      </c>
      <c r="D76" s="69">
        <f t="shared" si="0"/>
        <v>0</v>
      </c>
    </row>
    <row r="77" spans="2:4" x14ac:dyDescent="0.25">
      <c r="C77" s="68" t="s">
        <v>105</v>
      </c>
      <c r="D77" s="69">
        <f t="shared" si="0"/>
        <v>0</v>
      </c>
    </row>
    <row r="78" spans="2:4" x14ac:dyDescent="0.25">
      <c r="C78" s="68"/>
      <c r="D78" s="69">
        <f t="shared" si="0"/>
        <v>0</v>
      </c>
    </row>
    <row r="79" spans="2:4" x14ac:dyDescent="0.25">
      <c r="C79" s="68"/>
      <c r="D79" s="69">
        <f t="shared" si="0"/>
        <v>0</v>
      </c>
    </row>
    <row r="80" spans="2:4" ht="15.75" thickBot="1" x14ac:dyDescent="0.3">
      <c r="C80" s="70"/>
      <c r="D80" s="71">
        <f t="shared" si="0"/>
        <v>0</v>
      </c>
    </row>
    <row r="81" spans="2:4" ht="15.75" thickBot="1" x14ac:dyDescent="0.3">
      <c r="D81" s="63"/>
    </row>
    <row r="82" spans="2:4" x14ac:dyDescent="0.25">
      <c r="B82" s="72" t="s">
        <v>45</v>
      </c>
      <c r="C82" s="66" t="s">
        <v>106</v>
      </c>
      <c r="D82" s="67">
        <f t="shared" si="0"/>
        <v>0</v>
      </c>
    </row>
    <row r="83" spans="2:4" ht="15.75" thickBot="1" x14ac:dyDescent="0.3">
      <c r="B83" s="73">
        <f>SUM(D82:D88)</f>
        <v>0</v>
      </c>
      <c r="C83" s="68" t="s">
        <v>107</v>
      </c>
      <c r="D83" s="69">
        <f>SUMIF($D$11:$D$32,C83,$F$11:$F$32)</f>
        <v>0</v>
      </c>
    </row>
    <row r="84" spans="2:4" x14ac:dyDescent="0.25">
      <c r="C84" s="68" t="s">
        <v>108</v>
      </c>
      <c r="D84" s="69">
        <f t="shared" si="0"/>
        <v>0</v>
      </c>
    </row>
    <row r="85" spans="2:4" x14ac:dyDescent="0.25">
      <c r="C85" s="68" t="s">
        <v>109</v>
      </c>
      <c r="D85" s="69">
        <f t="shared" si="0"/>
        <v>0</v>
      </c>
    </row>
    <row r="86" spans="2:4" x14ac:dyDescent="0.25">
      <c r="C86" s="68" t="s">
        <v>110</v>
      </c>
      <c r="D86" s="69">
        <f t="shared" si="0"/>
        <v>0</v>
      </c>
    </row>
    <row r="87" spans="2:4" x14ac:dyDescent="0.25">
      <c r="C87" s="68" t="s">
        <v>46</v>
      </c>
      <c r="D87" s="69">
        <f t="shared" si="0"/>
        <v>0</v>
      </c>
    </row>
    <row r="88" spans="2:4" ht="15.75" thickBot="1" x14ac:dyDescent="0.3">
      <c r="C88" s="70"/>
      <c r="D88" s="71">
        <f t="shared" si="0"/>
        <v>0</v>
      </c>
    </row>
  </sheetData>
  <mergeCells count="3">
    <mergeCell ref="H2:K2"/>
    <mergeCell ref="B9:F9"/>
    <mergeCell ref="H9:K9"/>
  </mergeCells>
  <dataValidations count="1">
    <dataValidation type="list" allowBlank="1" showInputMessage="1" showErrorMessage="1" sqref="D11:D32">
      <formula1>INDIRECT(C11)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Modelo!$P$3:$P$10</xm:f>
          </x14:formula1>
          <xm:sqref>C11:C32</xm:sqref>
        </x14:dataValidation>
        <x14:dataValidation type="list" allowBlank="1" showInputMessage="1" showErrorMessage="1">
          <x14:formula1>
            <xm:f>Modelo!$R$3:$R$14</xm:f>
          </x14:formula1>
          <xm:sqref>I11:I22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1:P88"/>
  <sheetViews>
    <sheetView showGridLines="0" topLeftCell="A22" zoomScale="70" zoomScaleNormal="70" workbookViewId="0">
      <selection activeCell="F4" sqref="F4"/>
    </sheetView>
  </sheetViews>
  <sheetFormatPr defaultRowHeight="15" x14ac:dyDescent="0.25"/>
  <cols>
    <col min="1" max="1" width="3" customWidth="1"/>
    <col min="2" max="2" width="12.140625" bestFit="1" customWidth="1"/>
    <col min="3" max="3" width="41.5703125" bestFit="1" customWidth="1"/>
    <col min="4" max="4" width="10.42578125" bestFit="1" customWidth="1"/>
    <col min="5" max="5" width="9.28515625" bestFit="1" customWidth="1"/>
    <col min="6" max="6" width="13.7109375" bestFit="1" customWidth="1"/>
    <col min="7" max="7" width="2.5703125" customWidth="1"/>
    <col min="8" max="8" width="17.85546875" bestFit="1" customWidth="1"/>
    <col min="9" max="9" width="13.7109375" bestFit="1" customWidth="1"/>
    <col min="10" max="11" width="11.85546875" customWidth="1"/>
    <col min="13" max="16" width="12" customWidth="1"/>
  </cols>
  <sheetData>
    <row r="1" spans="2:16" ht="15.75" thickBot="1" x14ac:dyDescent="0.3"/>
    <row r="2" spans="2:16" ht="15.75" thickBot="1" x14ac:dyDescent="0.3">
      <c r="B2" s="11" t="s">
        <v>18</v>
      </c>
      <c r="C2" s="32" t="s">
        <v>1</v>
      </c>
      <c r="D2" s="31" t="s">
        <v>2</v>
      </c>
      <c r="F2" s="5" t="s">
        <v>3</v>
      </c>
      <c r="H2" s="128"/>
      <c r="I2" s="128"/>
      <c r="J2" s="128"/>
      <c r="K2" s="128"/>
    </row>
    <row r="3" spans="2:16" ht="15.75" thickBot="1" x14ac:dyDescent="0.3">
      <c r="B3" s="10" t="s">
        <v>4</v>
      </c>
      <c r="C3" s="29"/>
      <c r="D3" s="30"/>
      <c r="F3" s="38">
        <f>SUM(D3,D5,D6,D7,D4)</f>
        <v>0</v>
      </c>
      <c r="I3" s="11" t="s">
        <v>5</v>
      </c>
    </row>
    <row r="4" spans="2:16" ht="15.75" thickBot="1" x14ac:dyDescent="0.3">
      <c r="B4" s="6" t="s">
        <v>128</v>
      </c>
      <c r="C4" s="7"/>
      <c r="D4" s="26">
        <f>SUM(P10:P25)</f>
        <v>0</v>
      </c>
      <c r="F4" s="37">
        <f>SUM(F11:F32)</f>
        <v>0</v>
      </c>
      <c r="I4" s="15">
        <f ca="1">TODAY()</f>
        <v>46002</v>
      </c>
    </row>
    <row r="5" spans="2:16" ht="15.75" thickBot="1" x14ac:dyDescent="0.3">
      <c r="B5" s="24" t="s">
        <v>6</v>
      </c>
      <c r="C5" s="25"/>
      <c r="D5" s="27"/>
      <c r="F5" s="98">
        <f>D4</f>
        <v>0</v>
      </c>
      <c r="I5" s="17" t="s">
        <v>7</v>
      </c>
    </row>
    <row r="6" spans="2:16" ht="15.75" thickBot="1" x14ac:dyDescent="0.3">
      <c r="B6" s="24" t="s">
        <v>132</v>
      </c>
      <c r="C6" s="25"/>
      <c r="D6" s="27"/>
      <c r="F6" s="36">
        <f>SUM(K11:K22)</f>
        <v>0</v>
      </c>
      <c r="I6" s="14">
        <v>45847</v>
      </c>
    </row>
    <row r="7" spans="2:16" ht="15.75" thickBot="1" x14ac:dyDescent="0.3">
      <c r="B7" s="8" t="s">
        <v>15</v>
      </c>
      <c r="C7" s="9"/>
      <c r="D7" s="28">
        <f>Abr!F7</f>
        <v>0</v>
      </c>
      <c r="F7" s="39">
        <f>F3-F4-F6</f>
        <v>0</v>
      </c>
    </row>
    <row r="8" spans="2:16" ht="15.75" thickBot="1" x14ac:dyDescent="0.3"/>
    <row r="9" spans="2:16" ht="15.75" thickBot="1" x14ac:dyDescent="0.3">
      <c r="B9" s="124" t="s">
        <v>8</v>
      </c>
      <c r="C9" s="125"/>
      <c r="D9" s="125"/>
      <c r="E9" s="125"/>
      <c r="F9" s="126"/>
      <c r="H9" s="127" t="s">
        <v>9</v>
      </c>
      <c r="I9" s="127"/>
      <c r="J9" s="127"/>
      <c r="K9" s="127"/>
      <c r="M9" s="91" t="s">
        <v>129</v>
      </c>
      <c r="N9" s="92" t="s">
        <v>130</v>
      </c>
      <c r="O9" s="93" t="s">
        <v>131</v>
      </c>
      <c r="P9" s="94" t="s">
        <v>74</v>
      </c>
    </row>
    <row r="10" spans="2:16" ht="15.75" thickBot="1" x14ac:dyDescent="0.3">
      <c r="B10" s="5" t="s">
        <v>5</v>
      </c>
      <c r="C10" s="5" t="s">
        <v>10</v>
      </c>
      <c r="D10" s="5" t="s">
        <v>11</v>
      </c>
      <c r="E10" s="5" t="s">
        <v>12</v>
      </c>
      <c r="F10" s="5" t="s">
        <v>2</v>
      </c>
      <c r="H10" s="5" t="s">
        <v>5</v>
      </c>
      <c r="I10" s="5" t="s">
        <v>13</v>
      </c>
      <c r="J10" s="5" t="s">
        <v>11</v>
      </c>
      <c r="K10" s="5" t="s">
        <v>2</v>
      </c>
      <c r="M10" s="89"/>
      <c r="N10" s="95"/>
      <c r="O10" s="90"/>
      <c r="P10" s="60"/>
    </row>
    <row r="11" spans="2:16" x14ac:dyDescent="0.25">
      <c r="B11" s="21"/>
      <c r="C11" s="16"/>
      <c r="D11" s="16"/>
      <c r="E11" s="16"/>
      <c r="F11" s="33"/>
      <c r="H11" s="18"/>
      <c r="I11" s="13"/>
      <c r="J11" s="13"/>
      <c r="K11" s="60"/>
      <c r="M11" s="77"/>
      <c r="N11" s="96"/>
      <c r="O11" s="87"/>
      <c r="P11" s="61"/>
    </row>
    <row r="12" spans="2:16" x14ac:dyDescent="0.25">
      <c r="B12" s="22"/>
      <c r="C12" s="7"/>
      <c r="D12" s="7"/>
      <c r="E12" s="7"/>
      <c r="F12" s="34"/>
      <c r="H12" s="19"/>
      <c r="I12" s="13"/>
      <c r="J12" s="1"/>
      <c r="K12" s="61"/>
      <c r="M12" s="77"/>
      <c r="N12" s="96"/>
      <c r="O12" s="87"/>
      <c r="P12" s="61"/>
    </row>
    <row r="13" spans="2:16" x14ac:dyDescent="0.25">
      <c r="B13" s="22"/>
      <c r="C13" s="7"/>
      <c r="D13" s="7"/>
      <c r="E13" s="7"/>
      <c r="F13" s="34"/>
      <c r="H13" s="19"/>
      <c r="I13" s="13"/>
      <c r="J13" s="1"/>
      <c r="K13" s="61"/>
      <c r="M13" s="77"/>
      <c r="N13" s="96"/>
      <c r="O13" s="87"/>
      <c r="P13" s="61"/>
    </row>
    <row r="14" spans="2:16" x14ac:dyDescent="0.25">
      <c r="B14" s="22"/>
      <c r="C14" s="7"/>
      <c r="D14" s="7"/>
      <c r="E14" s="7"/>
      <c r="F14" s="34"/>
      <c r="H14" s="19"/>
      <c r="I14" s="13"/>
      <c r="J14" s="1"/>
      <c r="K14" s="61"/>
      <c r="M14" s="77"/>
      <c r="N14" s="96"/>
      <c r="O14" s="87"/>
      <c r="P14" s="61"/>
    </row>
    <row r="15" spans="2:16" x14ac:dyDescent="0.25">
      <c r="B15" s="22"/>
      <c r="C15" s="7"/>
      <c r="D15" s="7"/>
      <c r="E15" s="7"/>
      <c r="F15" s="34"/>
      <c r="H15" s="19"/>
      <c r="I15" s="13"/>
      <c r="J15" s="1"/>
      <c r="K15" s="61"/>
      <c r="M15" s="77"/>
      <c r="N15" s="96"/>
      <c r="O15" s="87"/>
      <c r="P15" s="61"/>
    </row>
    <row r="16" spans="2:16" x14ac:dyDescent="0.25">
      <c r="B16" s="22"/>
      <c r="C16" s="7"/>
      <c r="D16" s="7"/>
      <c r="E16" s="7"/>
      <c r="F16" s="34"/>
      <c r="H16" s="19"/>
      <c r="I16" s="13"/>
      <c r="J16" s="1"/>
      <c r="K16" s="61"/>
      <c r="M16" s="77"/>
      <c r="N16" s="96"/>
      <c r="O16" s="87"/>
      <c r="P16" s="61"/>
    </row>
    <row r="17" spans="2:16" x14ac:dyDescent="0.25">
      <c r="B17" s="22"/>
      <c r="C17" s="7"/>
      <c r="D17" s="7"/>
      <c r="E17" s="7"/>
      <c r="F17" s="34"/>
      <c r="H17" s="19"/>
      <c r="I17" s="13"/>
      <c r="J17" s="1"/>
      <c r="K17" s="61"/>
      <c r="M17" s="77"/>
      <c r="N17" s="96"/>
      <c r="O17" s="87"/>
      <c r="P17" s="61"/>
    </row>
    <row r="18" spans="2:16" x14ac:dyDescent="0.25">
      <c r="B18" s="22"/>
      <c r="C18" s="7"/>
      <c r="D18" s="7"/>
      <c r="E18" s="7"/>
      <c r="F18" s="34"/>
      <c r="H18" s="19"/>
      <c r="I18" s="13"/>
      <c r="J18" s="1"/>
      <c r="K18" s="61"/>
      <c r="M18" s="77"/>
      <c r="N18" s="96"/>
      <c r="O18" s="87"/>
      <c r="P18" s="61"/>
    </row>
    <row r="19" spans="2:16" x14ac:dyDescent="0.25">
      <c r="B19" s="22"/>
      <c r="C19" s="7"/>
      <c r="D19" s="7"/>
      <c r="E19" s="7"/>
      <c r="F19" s="34"/>
      <c r="H19" s="19"/>
      <c r="I19" s="13"/>
      <c r="J19" s="1"/>
      <c r="K19" s="61"/>
      <c r="M19" s="77"/>
      <c r="N19" s="96"/>
      <c r="O19" s="87"/>
      <c r="P19" s="61"/>
    </row>
    <row r="20" spans="2:16" x14ac:dyDescent="0.25">
      <c r="B20" s="22"/>
      <c r="C20" s="7"/>
      <c r="D20" s="7"/>
      <c r="E20" s="7"/>
      <c r="F20" s="34"/>
      <c r="H20" s="19"/>
      <c r="I20" s="13"/>
      <c r="J20" s="1"/>
      <c r="K20" s="61"/>
      <c r="M20" s="77"/>
      <c r="N20" s="96"/>
      <c r="O20" s="87"/>
      <c r="P20" s="61"/>
    </row>
    <row r="21" spans="2:16" x14ac:dyDescent="0.25">
      <c r="B21" s="22"/>
      <c r="C21" s="7"/>
      <c r="D21" s="7"/>
      <c r="E21" s="7"/>
      <c r="F21" s="34"/>
      <c r="H21" s="19"/>
      <c r="I21" s="13"/>
      <c r="J21" s="1"/>
      <c r="K21" s="61"/>
      <c r="M21" s="77"/>
      <c r="N21" s="96"/>
      <c r="O21" s="87"/>
      <c r="P21" s="61"/>
    </row>
    <row r="22" spans="2:16" ht="15.75" thickBot="1" x14ac:dyDescent="0.3">
      <c r="B22" s="22"/>
      <c r="C22" s="7"/>
      <c r="D22" s="7"/>
      <c r="E22" s="7"/>
      <c r="F22" s="34"/>
      <c r="H22" s="20"/>
      <c r="I22" s="3"/>
      <c r="J22" s="3"/>
      <c r="K22" s="62"/>
      <c r="M22" s="77"/>
      <c r="N22" s="96"/>
      <c r="O22" s="87"/>
      <c r="P22" s="61"/>
    </row>
    <row r="23" spans="2:16" x14ac:dyDescent="0.25">
      <c r="B23" s="22"/>
      <c r="C23" s="7"/>
      <c r="D23" s="7"/>
      <c r="E23" s="7"/>
      <c r="F23" s="34"/>
      <c r="M23" s="77"/>
      <c r="N23" s="96"/>
      <c r="O23" s="87"/>
      <c r="P23" s="61"/>
    </row>
    <row r="24" spans="2:16" x14ac:dyDescent="0.25">
      <c r="B24" s="22"/>
      <c r="C24" s="7"/>
      <c r="D24" s="7"/>
      <c r="E24" s="7"/>
      <c r="F24" s="34"/>
      <c r="M24" s="77"/>
      <c r="N24" s="96"/>
      <c r="O24" s="87"/>
      <c r="P24" s="61"/>
    </row>
    <row r="25" spans="2:16" ht="15.75" thickBot="1" x14ac:dyDescent="0.3">
      <c r="B25" s="22"/>
      <c r="C25" s="7"/>
      <c r="D25" s="7"/>
      <c r="E25" s="7"/>
      <c r="F25" s="34"/>
      <c r="M25" s="70"/>
      <c r="N25" s="97"/>
      <c r="O25" s="88"/>
      <c r="P25" s="62"/>
    </row>
    <row r="26" spans="2:16" x14ac:dyDescent="0.25">
      <c r="B26" s="22"/>
      <c r="C26" s="7"/>
      <c r="D26" s="7"/>
      <c r="E26" s="7"/>
      <c r="F26" s="34"/>
    </row>
    <row r="27" spans="2:16" x14ac:dyDescent="0.25">
      <c r="B27" s="22"/>
      <c r="C27" s="7"/>
      <c r="D27" s="7"/>
      <c r="E27" s="7"/>
      <c r="F27" s="34"/>
    </row>
    <row r="28" spans="2:16" x14ac:dyDescent="0.25">
      <c r="B28" s="22"/>
      <c r="C28" s="7"/>
      <c r="D28" s="7"/>
      <c r="E28" s="7"/>
      <c r="F28" s="34"/>
    </row>
    <row r="29" spans="2:16" x14ac:dyDescent="0.25">
      <c r="B29" s="22"/>
      <c r="C29" s="7"/>
      <c r="D29" s="7"/>
      <c r="E29" s="7"/>
      <c r="F29" s="34"/>
    </row>
    <row r="30" spans="2:16" x14ac:dyDescent="0.25">
      <c r="B30" s="22"/>
      <c r="C30" s="7"/>
      <c r="D30" s="7"/>
      <c r="E30" s="7"/>
      <c r="F30" s="34"/>
    </row>
    <row r="31" spans="2:16" x14ac:dyDescent="0.25">
      <c r="B31" s="22"/>
      <c r="C31" s="7"/>
      <c r="D31" s="7"/>
      <c r="E31" s="7"/>
      <c r="F31" s="34"/>
    </row>
    <row r="32" spans="2:16" ht="15.75" thickBot="1" x14ac:dyDescent="0.3">
      <c r="B32" s="23"/>
      <c r="C32" s="9"/>
      <c r="D32" s="9"/>
      <c r="E32" s="9"/>
      <c r="F32" s="35"/>
    </row>
    <row r="34" spans="2:9" ht="15.75" thickBot="1" x14ac:dyDescent="0.3"/>
    <row r="35" spans="2:9" x14ac:dyDescent="0.25">
      <c r="B35" s="72" t="s">
        <v>35</v>
      </c>
      <c r="C35" s="66" t="s">
        <v>120</v>
      </c>
      <c r="D35" s="67">
        <f>SUMIF($D$11:$D$32,C35,$F$11:$F$32)</f>
        <v>0</v>
      </c>
      <c r="H35" s="78" t="s">
        <v>111</v>
      </c>
      <c r="I35" s="67">
        <f>SUMIF($I$11:$I$22,H35,$K$11:$K$22)</f>
        <v>0</v>
      </c>
    </row>
    <row r="36" spans="2:9" ht="15.75" thickBot="1" x14ac:dyDescent="0.3">
      <c r="B36" s="73">
        <f>SUM(D35:D39)</f>
        <v>0</v>
      </c>
      <c r="C36" s="68" t="s">
        <v>80</v>
      </c>
      <c r="D36" s="69">
        <f t="shared" ref="D36:D88" si="0">SUMIF($D$11:$D$32,C36,$F$11:$F$32)</f>
        <v>0</v>
      </c>
      <c r="H36" s="79" t="s">
        <v>112</v>
      </c>
      <c r="I36" s="69">
        <f t="shared" ref="I36:I45" si="1">SUMIF($I$11:$I$22,H36,$K$11:$K$22)</f>
        <v>0</v>
      </c>
    </row>
    <row r="37" spans="2:9" x14ac:dyDescent="0.25">
      <c r="C37" s="68" t="s">
        <v>81</v>
      </c>
      <c r="D37" s="69">
        <f t="shared" si="0"/>
        <v>0</v>
      </c>
      <c r="H37" s="79" t="s">
        <v>113</v>
      </c>
      <c r="I37" s="69">
        <f t="shared" si="1"/>
        <v>0</v>
      </c>
    </row>
    <row r="38" spans="2:9" x14ac:dyDescent="0.25">
      <c r="C38" s="68" t="s">
        <v>36</v>
      </c>
      <c r="D38" s="69">
        <f t="shared" si="0"/>
        <v>0</v>
      </c>
      <c r="H38" s="79" t="s">
        <v>114</v>
      </c>
      <c r="I38" s="69">
        <f t="shared" si="1"/>
        <v>0</v>
      </c>
    </row>
    <row r="39" spans="2:9" ht="15.75" thickBot="1" x14ac:dyDescent="0.3">
      <c r="C39" s="76"/>
      <c r="D39" s="71">
        <f t="shared" si="0"/>
        <v>0</v>
      </c>
      <c r="H39" s="79" t="s">
        <v>115</v>
      </c>
      <c r="I39" s="69">
        <f t="shared" si="1"/>
        <v>0</v>
      </c>
    </row>
    <row r="40" spans="2:9" ht="15.75" thickBot="1" x14ac:dyDescent="0.3">
      <c r="C40" s="54"/>
      <c r="D40" s="63"/>
      <c r="H40" s="79" t="s">
        <v>116</v>
      </c>
      <c r="I40" s="69">
        <f t="shared" si="1"/>
        <v>0</v>
      </c>
    </row>
    <row r="41" spans="2:9" x14ac:dyDescent="0.25">
      <c r="B41" s="72" t="s">
        <v>21</v>
      </c>
      <c r="C41" s="66" t="s">
        <v>85</v>
      </c>
      <c r="D41" s="67">
        <f t="shared" si="0"/>
        <v>0</v>
      </c>
      <c r="H41" s="79" t="s">
        <v>117</v>
      </c>
      <c r="I41" s="69">
        <f t="shared" si="1"/>
        <v>0</v>
      </c>
    </row>
    <row r="42" spans="2:9" ht="15.75" thickBot="1" x14ac:dyDescent="0.3">
      <c r="B42" s="73">
        <f>SUBTOTAL(9,D41:D48)</f>
        <v>0</v>
      </c>
      <c r="C42" s="68" t="s">
        <v>22</v>
      </c>
      <c r="D42" s="69">
        <f t="shared" si="0"/>
        <v>0</v>
      </c>
      <c r="H42" s="79" t="s">
        <v>118</v>
      </c>
      <c r="I42" s="69">
        <f t="shared" si="1"/>
        <v>0</v>
      </c>
    </row>
    <row r="43" spans="2:9" x14ac:dyDescent="0.25">
      <c r="C43" s="68" t="s">
        <v>40</v>
      </c>
      <c r="D43" s="69">
        <f t="shared" si="0"/>
        <v>0</v>
      </c>
      <c r="H43" s="79" t="s">
        <v>84</v>
      </c>
      <c r="I43" s="69">
        <f t="shared" si="1"/>
        <v>0</v>
      </c>
    </row>
    <row r="44" spans="2:9" x14ac:dyDescent="0.25">
      <c r="C44" s="68" t="s">
        <v>87</v>
      </c>
      <c r="D44" s="69">
        <f t="shared" si="0"/>
        <v>0</v>
      </c>
      <c r="H44" s="79" t="s">
        <v>119</v>
      </c>
      <c r="I44" s="69">
        <f t="shared" si="1"/>
        <v>0</v>
      </c>
    </row>
    <row r="45" spans="2:9" ht="15.75" thickBot="1" x14ac:dyDescent="0.3">
      <c r="C45" s="68" t="s">
        <v>86</v>
      </c>
      <c r="D45" s="69">
        <f t="shared" si="0"/>
        <v>0</v>
      </c>
      <c r="H45" s="80"/>
      <c r="I45" s="71">
        <f t="shared" si="1"/>
        <v>0</v>
      </c>
    </row>
    <row r="46" spans="2:9" x14ac:dyDescent="0.25">
      <c r="C46" s="68" t="s">
        <v>43</v>
      </c>
      <c r="D46" s="69">
        <f t="shared" si="0"/>
        <v>0</v>
      </c>
    </row>
    <row r="47" spans="2:9" x14ac:dyDescent="0.25">
      <c r="C47" s="74"/>
      <c r="D47" s="75">
        <f t="shared" si="0"/>
        <v>0</v>
      </c>
    </row>
    <row r="48" spans="2:9" ht="15.75" thickBot="1" x14ac:dyDescent="0.3">
      <c r="C48" s="76"/>
      <c r="D48" s="71">
        <f t="shared" si="0"/>
        <v>0</v>
      </c>
    </row>
    <row r="49" spans="2:4" ht="15.75" thickBot="1" x14ac:dyDescent="0.3">
      <c r="D49" s="63"/>
    </row>
    <row r="50" spans="2:4" x14ac:dyDescent="0.25">
      <c r="B50" s="72" t="s">
        <v>27</v>
      </c>
      <c r="C50" s="66" t="s">
        <v>28</v>
      </c>
      <c r="D50" s="67">
        <f t="shared" si="0"/>
        <v>0</v>
      </c>
    </row>
    <row r="51" spans="2:4" ht="15.75" thickBot="1" x14ac:dyDescent="0.3">
      <c r="B51" s="73">
        <f>SUM(D50:D56)</f>
        <v>0</v>
      </c>
      <c r="C51" s="68" t="s">
        <v>88</v>
      </c>
      <c r="D51" s="69">
        <f t="shared" si="0"/>
        <v>0</v>
      </c>
    </row>
    <row r="52" spans="2:4" x14ac:dyDescent="0.25">
      <c r="C52" s="68" t="s">
        <v>89</v>
      </c>
      <c r="D52" s="69">
        <f t="shared" si="0"/>
        <v>0</v>
      </c>
    </row>
    <row r="53" spans="2:4" x14ac:dyDescent="0.25">
      <c r="C53" s="68" t="s">
        <v>51</v>
      </c>
      <c r="D53" s="69">
        <f t="shared" si="0"/>
        <v>0</v>
      </c>
    </row>
    <row r="54" spans="2:4" x14ac:dyDescent="0.25">
      <c r="C54" s="68" t="s">
        <v>90</v>
      </c>
      <c r="D54" s="69">
        <f t="shared" si="0"/>
        <v>0</v>
      </c>
    </row>
    <row r="55" spans="2:4" x14ac:dyDescent="0.25">
      <c r="C55" s="68" t="s">
        <v>58</v>
      </c>
      <c r="D55" s="69">
        <f t="shared" si="0"/>
        <v>0</v>
      </c>
    </row>
    <row r="56" spans="2:4" ht="15.75" thickBot="1" x14ac:dyDescent="0.3">
      <c r="C56" s="70"/>
      <c r="D56" s="71">
        <f t="shared" si="0"/>
        <v>0</v>
      </c>
    </row>
    <row r="57" spans="2:4" ht="15.75" thickBot="1" x14ac:dyDescent="0.3">
      <c r="D57" s="63"/>
    </row>
    <row r="58" spans="2:4" x14ac:dyDescent="0.25">
      <c r="B58" s="72" t="s">
        <v>24</v>
      </c>
      <c r="C58" s="66" t="s">
        <v>121</v>
      </c>
      <c r="D58" s="67">
        <f t="shared" si="0"/>
        <v>0</v>
      </c>
    </row>
    <row r="59" spans="2:4" ht="15.75" thickBot="1" x14ac:dyDescent="0.3">
      <c r="B59" s="73">
        <f>SUM(D58:D64)</f>
        <v>0</v>
      </c>
      <c r="C59" s="68" t="s">
        <v>32</v>
      </c>
      <c r="D59" s="69">
        <f t="shared" si="0"/>
        <v>0</v>
      </c>
    </row>
    <row r="60" spans="2:4" x14ac:dyDescent="0.25">
      <c r="C60" s="68" t="s">
        <v>91</v>
      </c>
      <c r="D60" s="69">
        <f t="shared" si="0"/>
        <v>0</v>
      </c>
    </row>
    <row r="61" spans="2:4" x14ac:dyDescent="0.25">
      <c r="C61" s="68" t="s">
        <v>92</v>
      </c>
      <c r="D61" s="69">
        <f t="shared" si="0"/>
        <v>0</v>
      </c>
    </row>
    <row r="62" spans="2:4" x14ac:dyDescent="0.25">
      <c r="C62" s="68" t="s">
        <v>93</v>
      </c>
      <c r="D62" s="69">
        <f t="shared" si="0"/>
        <v>0</v>
      </c>
    </row>
    <row r="63" spans="2:4" x14ac:dyDescent="0.25">
      <c r="C63" s="68" t="s">
        <v>25</v>
      </c>
      <c r="D63" s="69">
        <f t="shared" si="0"/>
        <v>0</v>
      </c>
    </row>
    <row r="64" spans="2:4" ht="15.75" thickBot="1" x14ac:dyDescent="0.3">
      <c r="C64" s="70"/>
      <c r="D64" s="71">
        <f t="shared" si="0"/>
        <v>0</v>
      </c>
    </row>
    <row r="65" spans="2:4" ht="15.75" thickBot="1" x14ac:dyDescent="0.3">
      <c r="D65" s="63"/>
    </row>
    <row r="66" spans="2:4" x14ac:dyDescent="0.25">
      <c r="B66" s="72" t="s">
        <v>83</v>
      </c>
      <c r="C66" s="66" t="s">
        <v>122</v>
      </c>
      <c r="D66" s="67">
        <f t="shared" si="0"/>
        <v>0</v>
      </c>
    </row>
    <row r="67" spans="2:4" ht="15.75" thickBot="1" x14ac:dyDescent="0.3">
      <c r="B67" s="73">
        <f>SUM(D66:D72)</f>
        <v>0</v>
      </c>
      <c r="C67" s="68" t="s">
        <v>95</v>
      </c>
      <c r="D67" s="69">
        <f t="shared" si="0"/>
        <v>0</v>
      </c>
    </row>
    <row r="68" spans="2:4" x14ac:dyDescent="0.25">
      <c r="C68" s="68" t="s">
        <v>96</v>
      </c>
      <c r="D68" s="69">
        <f t="shared" si="0"/>
        <v>0</v>
      </c>
    </row>
    <row r="69" spans="2:4" x14ac:dyDescent="0.25">
      <c r="C69" s="68" t="s">
        <v>123</v>
      </c>
      <c r="D69" s="69">
        <f t="shared" si="0"/>
        <v>0</v>
      </c>
    </row>
    <row r="70" spans="2:4" x14ac:dyDescent="0.25">
      <c r="C70" s="68" t="s">
        <v>98</v>
      </c>
      <c r="D70" s="69">
        <f t="shared" si="0"/>
        <v>0</v>
      </c>
    </row>
    <row r="71" spans="2:4" x14ac:dyDescent="0.25">
      <c r="C71" s="68" t="s">
        <v>99</v>
      </c>
      <c r="D71" s="69">
        <f t="shared" si="0"/>
        <v>0</v>
      </c>
    </row>
    <row r="72" spans="2:4" ht="15.75" thickBot="1" x14ac:dyDescent="0.3">
      <c r="C72" s="70"/>
      <c r="D72" s="71">
        <f t="shared" si="0"/>
        <v>0</v>
      </c>
    </row>
    <row r="73" spans="2:4" ht="15.75" thickBot="1" x14ac:dyDescent="0.3">
      <c r="D73" s="63"/>
    </row>
    <row r="74" spans="2:4" x14ac:dyDescent="0.25">
      <c r="B74" s="72" t="s">
        <v>84</v>
      </c>
      <c r="C74" s="66" t="s">
        <v>100</v>
      </c>
      <c r="D74" s="67">
        <f t="shared" si="0"/>
        <v>0</v>
      </c>
    </row>
    <row r="75" spans="2:4" ht="15.75" thickBot="1" x14ac:dyDescent="0.3">
      <c r="B75" s="73">
        <f>SUM(D74:D80)</f>
        <v>0</v>
      </c>
      <c r="C75" s="68" t="s">
        <v>101</v>
      </c>
      <c r="D75" s="69">
        <f t="shared" si="0"/>
        <v>0</v>
      </c>
    </row>
    <row r="76" spans="2:4" x14ac:dyDescent="0.25">
      <c r="C76" s="68" t="s">
        <v>103</v>
      </c>
      <c r="D76" s="69">
        <f t="shared" si="0"/>
        <v>0</v>
      </c>
    </row>
    <row r="77" spans="2:4" x14ac:dyDescent="0.25">
      <c r="C77" s="68" t="s">
        <v>105</v>
      </c>
      <c r="D77" s="69">
        <f t="shared" si="0"/>
        <v>0</v>
      </c>
    </row>
    <row r="78" spans="2:4" x14ac:dyDescent="0.25">
      <c r="C78" s="68"/>
      <c r="D78" s="69">
        <f t="shared" si="0"/>
        <v>0</v>
      </c>
    </row>
    <row r="79" spans="2:4" x14ac:dyDescent="0.25">
      <c r="C79" s="68"/>
      <c r="D79" s="69">
        <f t="shared" si="0"/>
        <v>0</v>
      </c>
    </row>
    <row r="80" spans="2:4" ht="15.75" thickBot="1" x14ac:dyDescent="0.3">
      <c r="C80" s="70"/>
      <c r="D80" s="71">
        <f t="shared" si="0"/>
        <v>0</v>
      </c>
    </row>
    <row r="81" spans="2:4" ht="15.75" thickBot="1" x14ac:dyDescent="0.3">
      <c r="D81" s="63"/>
    </row>
    <row r="82" spans="2:4" x14ac:dyDescent="0.25">
      <c r="B82" s="72" t="s">
        <v>45</v>
      </c>
      <c r="C82" s="66" t="s">
        <v>106</v>
      </c>
      <c r="D82" s="67">
        <f t="shared" si="0"/>
        <v>0</v>
      </c>
    </row>
    <row r="83" spans="2:4" ht="15.75" thickBot="1" x14ac:dyDescent="0.3">
      <c r="B83" s="73">
        <f>SUM(D82:D88)</f>
        <v>0</v>
      </c>
      <c r="C83" s="68" t="s">
        <v>107</v>
      </c>
      <c r="D83" s="69">
        <f>SUMIF($D$11:$D$32,C83,$F$11:$F$32)</f>
        <v>0</v>
      </c>
    </row>
    <row r="84" spans="2:4" x14ac:dyDescent="0.25">
      <c r="C84" s="68" t="s">
        <v>108</v>
      </c>
      <c r="D84" s="69">
        <f t="shared" si="0"/>
        <v>0</v>
      </c>
    </row>
    <row r="85" spans="2:4" x14ac:dyDescent="0.25">
      <c r="C85" s="68" t="s">
        <v>109</v>
      </c>
      <c r="D85" s="69">
        <f t="shared" si="0"/>
        <v>0</v>
      </c>
    </row>
    <row r="86" spans="2:4" x14ac:dyDescent="0.25">
      <c r="C86" s="68" t="s">
        <v>110</v>
      </c>
      <c r="D86" s="69">
        <f t="shared" si="0"/>
        <v>0</v>
      </c>
    </row>
    <row r="87" spans="2:4" x14ac:dyDescent="0.25">
      <c r="C87" s="68" t="s">
        <v>46</v>
      </c>
      <c r="D87" s="69">
        <f t="shared" si="0"/>
        <v>0</v>
      </c>
    </row>
    <row r="88" spans="2:4" ht="15.75" thickBot="1" x14ac:dyDescent="0.3">
      <c r="C88" s="70"/>
      <c r="D88" s="71">
        <f t="shared" si="0"/>
        <v>0</v>
      </c>
    </row>
  </sheetData>
  <mergeCells count="3">
    <mergeCell ref="H2:K2"/>
    <mergeCell ref="B9:F9"/>
    <mergeCell ref="H9:K9"/>
  </mergeCells>
  <dataValidations count="1">
    <dataValidation type="list" allowBlank="1" showInputMessage="1" showErrorMessage="1" sqref="D11:D32">
      <formula1>INDIRECT(C11)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Modelo!$P$3:$P$10</xm:f>
          </x14:formula1>
          <xm:sqref>C11:C32</xm:sqref>
        </x14:dataValidation>
        <x14:dataValidation type="list" allowBlank="1" showInputMessage="1" showErrorMessage="1">
          <x14:formula1>
            <xm:f>Modelo!$R$3:$R$14</xm:f>
          </x14:formula1>
          <xm:sqref>I11:I22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1:P88"/>
  <sheetViews>
    <sheetView showGridLines="0" zoomScale="70" zoomScaleNormal="70" workbookViewId="0">
      <selection activeCell="F4" sqref="F4"/>
    </sheetView>
  </sheetViews>
  <sheetFormatPr defaultRowHeight="15" x14ac:dyDescent="0.25"/>
  <cols>
    <col min="1" max="1" width="3" customWidth="1"/>
    <col min="2" max="2" width="12.140625" bestFit="1" customWidth="1"/>
    <col min="3" max="3" width="41.5703125" bestFit="1" customWidth="1"/>
    <col min="4" max="4" width="10.42578125" bestFit="1" customWidth="1"/>
    <col min="5" max="5" width="9.28515625" bestFit="1" customWidth="1"/>
    <col min="6" max="6" width="13.7109375" bestFit="1" customWidth="1"/>
    <col min="7" max="7" width="2.5703125" customWidth="1"/>
    <col min="8" max="8" width="17.85546875" bestFit="1" customWidth="1"/>
    <col min="9" max="9" width="13.7109375" bestFit="1" customWidth="1"/>
    <col min="10" max="11" width="11.85546875" customWidth="1"/>
    <col min="13" max="16" width="12" customWidth="1"/>
  </cols>
  <sheetData>
    <row r="1" spans="2:16" ht="15.75" thickBot="1" x14ac:dyDescent="0.3"/>
    <row r="2" spans="2:16" ht="15.75" thickBot="1" x14ac:dyDescent="0.3">
      <c r="B2" s="11" t="s">
        <v>19</v>
      </c>
      <c r="C2" s="32" t="s">
        <v>1</v>
      </c>
      <c r="D2" s="31" t="s">
        <v>2</v>
      </c>
      <c r="F2" s="5" t="s">
        <v>3</v>
      </c>
      <c r="H2" s="128"/>
      <c r="I2" s="128"/>
      <c r="J2" s="128"/>
      <c r="K2" s="128"/>
    </row>
    <row r="3" spans="2:16" ht="15.75" thickBot="1" x14ac:dyDescent="0.3">
      <c r="B3" s="10" t="s">
        <v>4</v>
      </c>
      <c r="C3" s="29"/>
      <c r="D3" s="30"/>
      <c r="F3" s="38">
        <f>SUM(D3,D5,D6,D7,D4)</f>
        <v>0</v>
      </c>
      <c r="I3" s="11" t="s">
        <v>5</v>
      </c>
    </row>
    <row r="4" spans="2:16" ht="15.75" thickBot="1" x14ac:dyDescent="0.3">
      <c r="B4" s="6" t="s">
        <v>128</v>
      </c>
      <c r="C4" s="7"/>
      <c r="D4" s="26">
        <f>SUM(P10:P25)</f>
        <v>0</v>
      </c>
      <c r="F4" s="37">
        <f>SUM(F11:F32)</f>
        <v>0</v>
      </c>
      <c r="I4" s="15">
        <f ca="1">TODAY()</f>
        <v>46002</v>
      </c>
    </row>
    <row r="5" spans="2:16" ht="15.75" thickBot="1" x14ac:dyDescent="0.3">
      <c r="B5" s="24" t="s">
        <v>6</v>
      </c>
      <c r="C5" s="25"/>
      <c r="D5" s="27"/>
      <c r="F5" s="98">
        <f>D4</f>
        <v>0</v>
      </c>
      <c r="I5" s="17" t="s">
        <v>7</v>
      </c>
    </row>
    <row r="6" spans="2:16" ht="15.75" thickBot="1" x14ac:dyDescent="0.3">
      <c r="B6" s="24" t="s">
        <v>132</v>
      </c>
      <c r="C6" s="25"/>
      <c r="D6" s="27"/>
      <c r="F6" s="36">
        <f>SUM(K11:K22)</f>
        <v>0</v>
      </c>
      <c r="I6" s="14">
        <v>45847</v>
      </c>
    </row>
    <row r="7" spans="2:16" ht="15.75" thickBot="1" x14ac:dyDescent="0.3">
      <c r="B7" s="8" t="s">
        <v>15</v>
      </c>
      <c r="C7" s="9"/>
      <c r="D7" s="28">
        <f>Mai!F7</f>
        <v>0</v>
      </c>
      <c r="F7" s="39">
        <f>F3-F4-F6</f>
        <v>0</v>
      </c>
    </row>
    <row r="8" spans="2:16" ht="15.75" thickBot="1" x14ac:dyDescent="0.3"/>
    <row r="9" spans="2:16" ht="15.75" thickBot="1" x14ac:dyDescent="0.3">
      <c r="B9" s="124" t="s">
        <v>8</v>
      </c>
      <c r="C9" s="125"/>
      <c r="D9" s="125"/>
      <c r="E9" s="125"/>
      <c r="F9" s="126"/>
      <c r="H9" s="127" t="s">
        <v>9</v>
      </c>
      <c r="I9" s="127"/>
      <c r="J9" s="127"/>
      <c r="K9" s="127"/>
      <c r="M9" s="91" t="s">
        <v>129</v>
      </c>
      <c r="N9" s="92" t="s">
        <v>130</v>
      </c>
      <c r="O9" s="93" t="s">
        <v>131</v>
      </c>
      <c r="P9" s="94" t="s">
        <v>74</v>
      </c>
    </row>
    <row r="10" spans="2:16" ht="15.75" thickBot="1" x14ac:dyDescent="0.3">
      <c r="B10" s="5" t="s">
        <v>5</v>
      </c>
      <c r="C10" s="5" t="s">
        <v>10</v>
      </c>
      <c r="D10" s="5" t="s">
        <v>11</v>
      </c>
      <c r="E10" s="5" t="s">
        <v>12</v>
      </c>
      <c r="F10" s="5" t="s">
        <v>2</v>
      </c>
      <c r="H10" s="5" t="s">
        <v>5</v>
      </c>
      <c r="I10" s="5" t="s">
        <v>13</v>
      </c>
      <c r="J10" s="5" t="s">
        <v>11</v>
      </c>
      <c r="K10" s="5" t="s">
        <v>2</v>
      </c>
      <c r="M10" s="89"/>
      <c r="N10" s="95"/>
      <c r="O10" s="90"/>
      <c r="P10" s="60"/>
    </row>
    <row r="11" spans="2:16" x14ac:dyDescent="0.25">
      <c r="B11" s="21"/>
      <c r="C11" s="16"/>
      <c r="D11" s="16"/>
      <c r="E11" s="16"/>
      <c r="F11" s="33"/>
      <c r="H11" s="18"/>
      <c r="I11" s="13"/>
      <c r="J11" s="13"/>
      <c r="K11" s="60"/>
      <c r="M11" s="77"/>
      <c r="N11" s="96"/>
      <c r="O11" s="87"/>
      <c r="P11" s="61"/>
    </row>
    <row r="12" spans="2:16" x14ac:dyDescent="0.25">
      <c r="B12" s="22"/>
      <c r="C12" s="7"/>
      <c r="D12" s="7"/>
      <c r="E12" s="7"/>
      <c r="F12" s="34"/>
      <c r="H12" s="19"/>
      <c r="I12" s="13"/>
      <c r="J12" s="1"/>
      <c r="K12" s="61"/>
      <c r="M12" s="77"/>
      <c r="N12" s="96"/>
      <c r="O12" s="87"/>
      <c r="P12" s="61"/>
    </row>
    <row r="13" spans="2:16" x14ac:dyDescent="0.25">
      <c r="B13" s="22"/>
      <c r="C13" s="7"/>
      <c r="D13" s="7"/>
      <c r="E13" s="7"/>
      <c r="F13" s="34"/>
      <c r="H13" s="19"/>
      <c r="I13" s="13"/>
      <c r="J13" s="1"/>
      <c r="K13" s="61"/>
      <c r="M13" s="77"/>
      <c r="N13" s="96"/>
      <c r="O13" s="87"/>
      <c r="P13" s="61"/>
    </row>
    <row r="14" spans="2:16" x14ac:dyDescent="0.25">
      <c r="B14" s="22"/>
      <c r="C14" s="7"/>
      <c r="D14" s="7"/>
      <c r="E14" s="7"/>
      <c r="F14" s="34"/>
      <c r="H14" s="19"/>
      <c r="I14" s="13"/>
      <c r="J14" s="1"/>
      <c r="K14" s="61"/>
      <c r="M14" s="77"/>
      <c r="N14" s="96"/>
      <c r="O14" s="87"/>
      <c r="P14" s="61"/>
    </row>
    <row r="15" spans="2:16" x14ac:dyDescent="0.25">
      <c r="B15" s="22"/>
      <c r="C15" s="7"/>
      <c r="D15" s="7"/>
      <c r="E15" s="7"/>
      <c r="F15" s="34"/>
      <c r="H15" s="19"/>
      <c r="I15" s="13"/>
      <c r="J15" s="1"/>
      <c r="K15" s="61"/>
      <c r="M15" s="77"/>
      <c r="N15" s="96"/>
      <c r="O15" s="87"/>
      <c r="P15" s="61"/>
    </row>
    <row r="16" spans="2:16" x14ac:dyDescent="0.25">
      <c r="B16" s="22"/>
      <c r="C16" s="7"/>
      <c r="D16" s="7"/>
      <c r="E16" s="7"/>
      <c r="F16" s="34"/>
      <c r="H16" s="19"/>
      <c r="I16" s="13"/>
      <c r="J16" s="1"/>
      <c r="K16" s="61"/>
      <c r="M16" s="77"/>
      <c r="N16" s="96"/>
      <c r="O16" s="87"/>
      <c r="P16" s="61"/>
    </row>
    <row r="17" spans="2:16" x14ac:dyDescent="0.25">
      <c r="B17" s="22"/>
      <c r="C17" s="7"/>
      <c r="D17" s="7"/>
      <c r="E17" s="7"/>
      <c r="F17" s="34"/>
      <c r="H17" s="19"/>
      <c r="I17" s="13"/>
      <c r="J17" s="1"/>
      <c r="K17" s="61"/>
      <c r="M17" s="77"/>
      <c r="N17" s="96"/>
      <c r="O17" s="87"/>
      <c r="P17" s="61"/>
    </row>
    <row r="18" spans="2:16" x14ac:dyDescent="0.25">
      <c r="B18" s="22"/>
      <c r="C18" s="7"/>
      <c r="D18" s="7"/>
      <c r="E18" s="7"/>
      <c r="F18" s="34"/>
      <c r="H18" s="19"/>
      <c r="I18" s="13"/>
      <c r="J18" s="1"/>
      <c r="K18" s="61"/>
      <c r="M18" s="77"/>
      <c r="N18" s="96"/>
      <c r="O18" s="87"/>
      <c r="P18" s="61"/>
    </row>
    <row r="19" spans="2:16" x14ac:dyDescent="0.25">
      <c r="B19" s="22"/>
      <c r="C19" s="7"/>
      <c r="D19" s="7"/>
      <c r="E19" s="7"/>
      <c r="F19" s="34"/>
      <c r="H19" s="19"/>
      <c r="I19" s="13"/>
      <c r="J19" s="1"/>
      <c r="K19" s="61"/>
      <c r="M19" s="77"/>
      <c r="N19" s="96"/>
      <c r="O19" s="87"/>
      <c r="P19" s="61"/>
    </row>
    <row r="20" spans="2:16" x14ac:dyDescent="0.25">
      <c r="B20" s="22"/>
      <c r="C20" s="7"/>
      <c r="D20" s="7"/>
      <c r="E20" s="7"/>
      <c r="F20" s="34"/>
      <c r="H20" s="19"/>
      <c r="I20" s="13"/>
      <c r="J20" s="1"/>
      <c r="K20" s="61"/>
      <c r="M20" s="77"/>
      <c r="N20" s="96"/>
      <c r="O20" s="87"/>
      <c r="P20" s="61"/>
    </row>
    <row r="21" spans="2:16" x14ac:dyDescent="0.25">
      <c r="B21" s="22"/>
      <c r="C21" s="7"/>
      <c r="D21" s="7"/>
      <c r="E21" s="7"/>
      <c r="F21" s="34"/>
      <c r="H21" s="19"/>
      <c r="I21" s="13"/>
      <c r="J21" s="1"/>
      <c r="K21" s="61"/>
      <c r="M21" s="77"/>
      <c r="N21" s="96"/>
      <c r="O21" s="87"/>
      <c r="P21" s="61"/>
    </row>
    <row r="22" spans="2:16" ht="15.75" thickBot="1" x14ac:dyDescent="0.3">
      <c r="B22" s="22"/>
      <c r="C22" s="7"/>
      <c r="D22" s="7"/>
      <c r="E22" s="7"/>
      <c r="F22" s="34"/>
      <c r="H22" s="20"/>
      <c r="I22" s="3"/>
      <c r="J22" s="3"/>
      <c r="K22" s="62"/>
      <c r="M22" s="77"/>
      <c r="N22" s="96"/>
      <c r="O22" s="87"/>
      <c r="P22" s="61"/>
    </row>
    <row r="23" spans="2:16" x14ac:dyDescent="0.25">
      <c r="B23" s="22"/>
      <c r="C23" s="7"/>
      <c r="D23" s="7"/>
      <c r="E23" s="7"/>
      <c r="F23" s="34"/>
      <c r="M23" s="77"/>
      <c r="N23" s="96"/>
      <c r="O23" s="87"/>
      <c r="P23" s="61"/>
    </row>
    <row r="24" spans="2:16" x14ac:dyDescent="0.25">
      <c r="B24" s="22"/>
      <c r="C24" s="7"/>
      <c r="D24" s="7"/>
      <c r="E24" s="7"/>
      <c r="F24" s="34"/>
      <c r="M24" s="77"/>
      <c r="N24" s="96"/>
      <c r="O24" s="87"/>
      <c r="P24" s="61"/>
    </row>
    <row r="25" spans="2:16" ht="15.75" thickBot="1" x14ac:dyDescent="0.3">
      <c r="B25" s="22"/>
      <c r="C25" s="7"/>
      <c r="D25" s="7"/>
      <c r="E25" s="7"/>
      <c r="F25" s="34"/>
      <c r="M25" s="70"/>
      <c r="N25" s="97"/>
      <c r="O25" s="88"/>
      <c r="P25" s="62"/>
    </row>
    <row r="26" spans="2:16" x14ac:dyDescent="0.25">
      <c r="B26" s="22"/>
      <c r="C26" s="7"/>
      <c r="D26" s="7"/>
      <c r="E26" s="7"/>
      <c r="F26" s="34"/>
    </row>
    <row r="27" spans="2:16" x14ac:dyDescent="0.25">
      <c r="B27" s="22"/>
      <c r="C27" s="7"/>
      <c r="D27" s="7"/>
      <c r="E27" s="7"/>
      <c r="F27" s="34"/>
    </row>
    <row r="28" spans="2:16" x14ac:dyDescent="0.25">
      <c r="B28" s="22"/>
      <c r="C28" s="7"/>
      <c r="D28" s="7"/>
      <c r="E28" s="7"/>
      <c r="F28" s="34"/>
    </row>
    <row r="29" spans="2:16" x14ac:dyDescent="0.25">
      <c r="B29" s="22"/>
      <c r="C29" s="7"/>
      <c r="D29" s="7"/>
      <c r="E29" s="7"/>
      <c r="F29" s="34"/>
    </row>
    <row r="30" spans="2:16" x14ac:dyDescent="0.25">
      <c r="B30" s="22"/>
      <c r="C30" s="7"/>
      <c r="D30" s="7"/>
      <c r="E30" s="7"/>
      <c r="F30" s="34"/>
    </row>
    <row r="31" spans="2:16" x14ac:dyDescent="0.25">
      <c r="B31" s="22"/>
      <c r="C31" s="7"/>
      <c r="D31" s="7"/>
      <c r="E31" s="7"/>
      <c r="F31" s="34"/>
    </row>
    <row r="32" spans="2:16" ht="15.75" thickBot="1" x14ac:dyDescent="0.3">
      <c r="B32" s="23"/>
      <c r="C32" s="9"/>
      <c r="D32" s="9"/>
      <c r="E32" s="9"/>
      <c r="F32" s="35"/>
    </row>
    <row r="34" spans="2:9" ht="15.75" thickBot="1" x14ac:dyDescent="0.3"/>
    <row r="35" spans="2:9" x14ac:dyDescent="0.25">
      <c r="B35" s="72" t="s">
        <v>35</v>
      </c>
      <c r="C35" s="66" t="s">
        <v>120</v>
      </c>
      <c r="D35" s="67">
        <f>SUMIF($D$11:$D$32,C35,$F$11:$F$32)</f>
        <v>0</v>
      </c>
      <c r="H35" s="78" t="s">
        <v>111</v>
      </c>
      <c r="I35" s="67">
        <f>SUMIF($I$11:$I$22,H35,$K$11:$K$22)</f>
        <v>0</v>
      </c>
    </row>
    <row r="36" spans="2:9" ht="15.75" thickBot="1" x14ac:dyDescent="0.3">
      <c r="B36" s="73">
        <f>SUM(D35:D39)</f>
        <v>0</v>
      </c>
      <c r="C36" s="68" t="s">
        <v>80</v>
      </c>
      <c r="D36" s="69">
        <f t="shared" ref="D36:D88" si="0">SUMIF($D$11:$D$32,C36,$F$11:$F$32)</f>
        <v>0</v>
      </c>
      <c r="H36" s="79" t="s">
        <v>112</v>
      </c>
      <c r="I36" s="69">
        <f t="shared" ref="I36:I45" si="1">SUMIF($I$11:$I$22,H36,$K$11:$K$22)</f>
        <v>0</v>
      </c>
    </row>
    <row r="37" spans="2:9" x14ac:dyDescent="0.25">
      <c r="C37" s="68" t="s">
        <v>81</v>
      </c>
      <c r="D37" s="69">
        <f t="shared" si="0"/>
        <v>0</v>
      </c>
      <c r="H37" s="79" t="s">
        <v>113</v>
      </c>
      <c r="I37" s="69">
        <f t="shared" si="1"/>
        <v>0</v>
      </c>
    </row>
    <row r="38" spans="2:9" x14ac:dyDescent="0.25">
      <c r="C38" s="68" t="s">
        <v>36</v>
      </c>
      <c r="D38" s="69">
        <f t="shared" si="0"/>
        <v>0</v>
      </c>
      <c r="H38" s="79" t="s">
        <v>114</v>
      </c>
      <c r="I38" s="69">
        <f t="shared" si="1"/>
        <v>0</v>
      </c>
    </row>
    <row r="39" spans="2:9" ht="15.75" thickBot="1" x14ac:dyDescent="0.3">
      <c r="C39" s="76"/>
      <c r="D39" s="71">
        <f t="shared" si="0"/>
        <v>0</v>
      </c>
      <c r="H39" s="79" t="s">
        <v>115</v>
      </c>
      <c r="I39" s="69">
        <f t="shared" si="1"/>
        <v>0</v>
      </c>
    </row>
    <row r="40" spans="2:9" ht="15.75" thickBot="1" x14ac:dyDescent="0.3">
      <c r="C40" s="54"/>
      <c r="D40" s="63"/>
      <c r="H40" s="79" t="s">
        <v>116</v>
      </c>
      <c r="I40" s="69">
        <f t="shared" si="1"/>
        <v>0</v>
      </c>
    </row>
    <row r="41" spans="2:9" x14ac:dyDescent="0.25">
      <c r="B41" s="72" t="s">
        <v>21</v>
      </c>
      <c r="C41" s="66" t="s">
        <v>85</v>
      </c>
      <c r="D41" s="67">
        <f t="shared" si="0"/>
        <v>0</v>
      </c>
      <c r="H41" s="79" t="s">
        <v>117</v>
      </c>
      <c r="I41" s="69">
        <f t="shared" si="1"/>
        <v>0</v>
      </c>
    </row>
    <row r="42" spans="2:9" ht="15.75" thickBot="1" x14ac:dyDescent="0.3">
      <c r="B42" s="73">
        <f>SUBTOTAL(9,D41:D48)</f>
        <v>0</v>
      </c>
      <c r="C42" s="68" t="s">
        <v>22</v>
      </c>
      <c r="D42" s="69">
        <f t="shared" si="0"/>
        <v>0</v>
      </c>
      <c r="H42" s="79" t="s">
        <v>118</v>
      </c>
      <c r="I42" s="69">
        <f t="shared" si="1"/>
        <v>0</v>
      </c>
    </row>
    <row r="43" spans="2:9" x14ac:dyDescent="0.25">
      <c r="C43" s="68" t="s">
        <v>40</v>
      </c>
      <c r="D43" s="69">
        <f t="shared" si="0"/>
        <v>0</v>
      </c>
      <c r="H43" s="79" t="s">
        <v>84</v>
      </c>
      <c r="I43" s="69">
        <f t="shared" si="1"/>
        <v>0</v>
      </c>
    </row>
    <row r="44" spans="2:9" x14ac:dyDescent="0.25">
      <c r="C44" s="68" t="s">
        <v>87</v>
      </c>
      <c r="D44" s="69">
        <f t="shared" si="0"/>
        <v>0</v>
      </c>
      <c r="H44" s="79" t="s">
        <v>119</v>
      </c>
      <c r="I44" s="69">
        <f t="shared" si="1"/>
        <v>0</v>
      </c>
    </row>
    <row r="45" spans="2:9" ht="15.75" thickBot="1" x14ac:dyDescent="0.3">
      <c r="C45" s="68" t="s">
        <v>86</v>
      </c>
      <c r="D45" s="69">
        <f t="shared" si="0"/>
        <v>0</v>
      </c>
      <c r="H45" s="80"/>
      <c r="I45" s="71">
        <f t="shared" si="1"/>
        <v>0</v>
      </c>
    </row>
    <row r="46" spans="2:9" x14ac:dyDescent="0.25">
      <c r="C46" s="68" t="s">
        <v>43</v>
      </c>
      <c r="D46" s="69">
        <f t="shared" si="0"/>
        <v>0</v>
      </c>
    </row>
    <row r="47" spans="2:9" x14ac:dyDescent="0.25">
      <c r="C47" s="74"/>
      <c r="D47" s="75">
        <f t="shared" si="0"/>
        <v>0</v>
      </c>
    </row>
    <row r="48" spans="2:9" ht="15.75" thickBot="1" x14ac:dyDescent="0.3">
      <c r="C48" s="76"/>
      <c r="D48" s="71">
        <f t="shared" si="0"/>
        <v>0</v>
      </c>
    </row>
    <row r="49" spans="2:4" ht="15.75" thickBot="1" x14ac:dyDescent="0.3">
      <c r="D49" s="63"/>
    </row>
    <row r="50" spans="2:4" x14ac:dyDescent="0.25">
      <c r="B50" s="72" t="s">
        <v>27</v>
      </c>
      <c r="C50" s="66" t="s">
        <v>28</v>
      </c>
      <c r="D50" s="67">
        <f t="shared" si="0"/>
        <v>0</v>
      </c>
    </row>
    <row r="51" spans="2:4" ht="15.75" thickBot="1" x14ac:dyDescent="0.3">
      <c r="B51" s="73">
        <f>SUM(D50:D56)</f>
        <v>0</v>
      </c>
      <c r="C51" s="68" t="s">
        <v>88</v>
      </c>
      <c r="D51" s="69">
        <f t="shared" si="0"/>
        <v>0</v>
      </c>
    </row>
    <row r="52" spans="2:4" x14ac:dyDescent="0.25">
      <c r="C52" s="68" t="s">
        <v>89</v>
      </c>
      <c r="D52" s="69">
        <f t="shared" si="0"/>
        <v>0</v>
      </c>
    </row>
    <row r="53" spans="2:4" x14ac:dyDescent="0.25">
      <c r="C53" s="68" t="s">
        <v>51</v>
      </c>
      <c r="D53" s="69">
        <f t="shared" si="0"/>
        <v>0</v>
      </c>
    </row>
    <row r="54" spans="2:4" x14ac:dyDescent="0.25">
      <c r="C54" s="68" t="s">
        <v>90</v>
      </c>
      <c r="D54" s="69">
        <f t="shared" si="0"/>
        <v>0</v>
      </c>
    </row>
    <row r="55" spans="2:4" x14ac:dyDescent="0.25">
      <c r="C55" s="68" t="s">
        <v>58</v>
      </c>
      <c r="D55" s="69">
        <f t="shared" si="0"/>
        <v>0</v>
      </c>
    </row>
    <row r="56" spans="2:4" ht="15.75" thickBot="1" x14ac:dyDescent="0.3">
      <c r="C56" s="70"/>
      <c r="D56" s="71">
        <f t="shared" si="0"/>
        <v>0</v>
      </c>
    </row>
    <row r="57" spans="2:4" ht="15.75" thickBot="1" x14ac:dyDescent="0.3">
      <c r="D57" s="63"/>
    </row>
    <row r="58" spans="2:4" x14ac:dyDescent="0.25">
      <c r="B58" s="72" t="s">
        <v>24</v>
      </c>
      <c r="C58" s="66" t="s">
        <v>121</v>
      </c>
      <c r="D58" s="67">
        <f t="shared" si="0"/>
        <v>0</v>
      </c>
    </row>
    <row r="59" spans="2:4" ht="15.75" thickBot="1" x14ac:dyDescent="0.3">
      <c r="B59" s="73">
        <f>SUM(D58:D64)</f>
        <v>0</v>
      </c>
      <c r="C59" s="68" t="s">
        <v>32</v>
      </c>
      <c r="D59" s="69">
        <f t="shared" si="0"/>
        <v>0</v>
      </c>
    </row>
    <row r="60" spans="2:4" x14ac:dyDescent="0.25">
      <c r="C60" s="68" t="s">
        <v>91</v>
      </c>
      <c r="D60" s="69">
        <f t="shared" si="0"/>
        <v>0</v>
      </c>
    </row>
    <row r="61" spans="2:4" x14ac:dyDescent="0.25">
      <c r="C61" s="68" t="s">
        <v>92</v>
      </c>
      <c r="D61" s="69">
        <f t="shared" si="0"/>
        <v>0</v>
      </c>
    </row>
    <row r="62" spans="2:4" x14ac:dyDescent="0.25">
      <c r="C62" s="68" t="s">
        <v>93</v>
      </c>
      <c r="D62" s="69">
        <f t="shared" si="0"/>
        <v>0</v>
      </c>
    </row>
    <row r="63" spans="2:4" x14ac:dyDescent="0.25">
      <c r="C63" s="68" t="s">
        <v>25</v>
      </c>
      <c r="D63" s="69">
        <f t="shared" si="0"/>
        <v>0</v>
      </c>
    </row>
    <row r="64" spans="2:4" ht="15.75" thickBot="1" x14ac:dyDescent="0.3">
      <c r="C64" s="70"/>
      <c r="D64" s="71">
        <f t="shared" si="0"/>
        <v>0</v>
      </c>
    </row>
    <row r="65" spans="2:4" ht="15.75" thickBot="1" x14ac:dyDescent="0.3">
      <c r="D65" s="63"/>
    </row>
    <row r="66" spans="2:4" x14ac:dyDescent="0.25">
      <c r="B66" s="72" t="s">
        <v>83</v>
      </c>
      <c r="C66" s="66" t="s">
        <v>122</v>
      </c>
      <c r="D66" s="67">
        <f t="shared" si="0"/>
        <v>0</v>
      </c>
    </row>
    <row r="67" spans="2:4" ht="15.75" thickBot="1" x14ac:dyDescent="0.3">
      <c r="B67" s="73">
        <f>SUM(D66:D72)</f>
        <v>0</v>
      </c>
      <c r="C67" s="68" t="s">
        <v>95</v>
      </c>
      <c r="D67" s="69">
        <f t="shared" si="0"/>
        <v>0</v>
      </c>
    </row>
    <row r="68" spans="2:4" x14ac:dyDescent="0.25">
      <c r="C68" s="68" t="s">
        <v>96</v>
      </c>
      <c r="D68" s="69">
        <f t="shared" si="0"/>
        <v>0</v>
      </c>
    </row>
    <row r="69" spans="2:4" x14ac:dyDescent="0.25">
      <c r="C69" s="68" t="s">
        <v>123</v>
      </c>
      <c r="D69" s="69">
        <f t="shared" si="0"/>
        <v>0</v>
      </c>
    </row>
    <row r="70" spans="2:4" x14ac:dyDescent="0.25">
      <c r="C70" s="68" t="s">
        <v>98</v>
      </c>
      <c r="D70" s="69">
        <f t="shared" si="0"/>
        <v>0</v>
      </c>
    </row>
    <row r="71" spans="2:4" x14ac:dyDescent="0.25">
      <c r="C71" s="68" t="s">
        <v>99</v>
      </c>
      <c r="D71" s="69">
        <f t="shared" si="0"/>
        <v>0</v>
      </c>
    </row>
    <row r="72" spans="2:4" ht="15.75" thickBot="1" x14ac:dyDescent="0.3">
      <c r="C72" s="70"/>
      <c r="D72" s="71">
        <f t="shared" si="0"/>
        <v>0</v>
      </c>
    </row>
    <row r="73" spans="2:4" ht="15.75" thickBot="1" x14ac:dyDescent="0.3">
      <c r="D73" s="63"/>
    </row>
    <row r="74" spans="2:4" x14ac:dyDescent="0.25">
      <c r="B74" s="72" t="s">
        <v>84</v>
      </c>
      <c r="C74" s="66" t="s">
        <v>100</v>
      </c>
      <c r="D74" s="67">
        <f t="shared" si="0"/>
        <v>0</v>
      </c>
    </row>
    <row r="75" spans="2:4" ht="15.75" thickBot="1" x14ac:dyDescent="0.3">
      <c r="B75" s="73">
        <f>SUM(D74:D80)</f>
        <v>0</v>
      </c>
      <c r="C75" s="68" t="s">
        <v>101</v>
      </c>
      <c r="D75" s="69">
        <f t="shared" si="0"/>
        <v>0</v>
      </c>
    </row>
    <row r="76" spans="2:4" x14ac:dyDescent="0.25">
      <c r="C76" s="68" t="s">
        <v>103</v>
      </c>
      <c r="D76" s="69">
        <f t="shared" si="0"/>
        <v>0</v>
      </c>
    </row>
    <row r="77" spans="2:4" x14ac:dyDescent="0.25">
      <c r="C77" s="68" t="s">
        <v>105</v>
      </c>
      <c r="D77" s="69">
        <f t="shared" si="0"/>
        <v>0</v>
      </c>
    </row>
    <row r="78" spans="2:4" x14ac:dyDescent="0.25">
      <c r="C78" s="68"/>
      <c r="D78" s="69">
        <f t="shared" si="0"/>
        <v>0</v>
      </c>
    </row>
    <row r="79" spans="2:4" x14ac:dyDescent="0.25">
      <c r="C79" s="68"/>
      <c r="D79" s="69">
        <f t="shared" si="0"/>
        <v>0</v>
      </c>
    </row>
    <row r="80" spans="2:4" ht="15.75" thickBot="1" x14ac:dyDescent="0.3">
      <c r="C80" s="70"/>
      <c r="D80" s="71">
        <f t="shared" si="0"/>
        <v>0</v>
      </c>
    </row>
    <row r="81" spans="2:4" ht="15.75" thickBot="1" x14ac:dyDescent="0.3">
      <c r="D81" s="63"/>
    </row>
    <row r="82" spans="2:4" x14ac:dyDescent="0.25">
      <c r="B82" s="72" t="s">
        <v>45</v>
      </c>
      <c r="C82" s="66" t="s">
        <v>106</v>
      </c>
      <c r="D82" s="67">
        <f t="shared" si="0"/>
        <v>0</v>
      </c>
    </row>
    <row r="83" spans="2:4" ht="15.75" thickBot="1" x14ac:dyDescent="0.3">
      <c r="B83" s="73">
        <f>SUM(D82:D88)</f>
        <v>0</v>
      </c>
      <c r="C83" s="68" t="s">
        <v>107</v>
      </c>
      <c r="D83" s="69">
        <f>SUMIF($D$11:$D$32,C83,$F$11:$F$32)</f>
        <v>0</v>
      </c>
    </row>
    <row r="84" spans="2:4" x14ac:dyDescent="0.25">
      <c r="C84" s="68" t="s">
        <v>108</v>
      </c>
      <c r="D84" s="69">
        <f t="shared" si="0"/>
        <v>0</v>
      </c>
    </row>
    <row r="85" spans="2:4" x14ac:dyDescent="0.25">
      <c r="C85" s="68" t="s">
        <v>109</v>
      </c>
      <c r="D85" s="69">
        <f t="shared" si="0"/>
        <v>0</v>
      </c>
    </row>
    <row r="86" spans="2:4" x14ac:dyDescent="0.25">
      <c r="C86" s="68" t="s">
        <v>110</v>
      </c>
      <c r="D86" s="69">
        <f t="shared" si="0"/>
        <v>0</v>
      </c>
    </row>
    <row r="87" spans="2:4" x14ac:dyDescent="0.25">
      <c r="C87" s="68" t="s">
        <v>46</v>
      </c>
      <c r="D87" s="69">
        <f t="shared" si="0"/>
        <v>0</v>
      </c>
    </row>
    <row r="88" spans="2:4" ht="15.75" thickBot="1" x14ac:dyDescent="0.3">
      <c r="C88" s="70"/>
      <c r="D88" s="71">
        <f t="shared" si="0"/>
        <v>0</v>
      </c>
    </row>
  </sheetData>
  <mergeCells count="3">
    <mergeCell ref="H2:K2"/>
    <mergeCell ref="B9:F9"/>
    <mergeCell ref="H9:K9"/>
  </mergeCells>
  <dataValidations disablePrompts="1" count="1">
    <dataValidation type="list" allowBlank="1" showInputMessage="1" showErrorMessage="1" sqref="D11:D32">
      <formula1>INDIRECT(C11)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Modelo!$P$3:$P$10</xm:f>
          </x14:formula1>
          <xm:sqref>C11:C32</xm:sqref>
        </x14:dataValidation>
        <x14:dataValidation type="list" allowBlank="1" showInputMessage="1" showErrorMessage="1">
          <x14:formula1>
            <xm:f>Modelo!$R$3:$R$14</xm:f>
          </x14:formula1>
          <xm:sqref>I11:I22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1:P88"/>
  <sheetViews>
    <sheetView showGridLines="0" zoomScale="70" zoomScaleNormal="70" workbookViewId="0">
      <selection activeCell="F4" sqref="F4"/>
    </sheetView>
  </sheetViews>
  <sheetFormatPr defaultRowHeight="15" x14ac:dyDescent="0.25"/>
  <cols>
    <col min="1" max="1" width="3" customWidth="1"/>
    <col min="2" max="2" width="12.140625" bestFit="1" customWidth="1"/>
    <col min="3" max="3" width="41.5703125" bestFit="1" customWidth="1"/>
    <col min="4" max="4" width="31.28515625" bestFit="1" customWidth="1"/>
    <col min="5" max="5" width="24.28515625" bestFit="1" customWidth="1"/>
    <col min="6" max="6" width="13.7109375" bestFit="1" customWidth="1"/>
    <col min="7" max="7" width="2.5703125" customWidth="1"/>
    <col min="8" max="8" width="17.85546875" bestFit="1" customWidth="1"/>
    <col min="9" max="9" width="13.7109375" bestFit="1" customWidth="1"/>
    <col min="10" max="11" width="11.85546875" customWidth="1"/>
    <col min="13" max="16" width="12" customWidth="1"/>
  </cols>
  <sheetData>
    <row r="1" spans="2:16" ht="15.75" thickBot="1" x14ac:dyDescent="0.3"/>
    <row r="2" spans="2:16" ht="15.75" thickBot="1" x14ac:dyDescent="0.3">
      <c r="B2" s="11" t="s">
        <v>20</v>
      </c>
      <c r="C2" s="32" t="s">
        <v>1</v>
      </c>
      <c r="D2" s="31" t="s">
        <v>2</v>
      </c>
      <c r="F2" s="5" t="s">
        <v>3</v>
      </c>
      <c r="H2" s="128"/>
      <c r="I2" s="128"/>
      <c r="J2" s="128"/>
      <c r="K2" s="128"/>
    </row>
    <row r="3" spans="2:16" ht="15.75" thickBot="1" x14ac:dyDescent="0.3">
      <c r="B3" s="10" t="s">
        <v>4</v>
      </c>
      <c r="C3" s="29"/>
      <c r="D3" s="30">
        <v>654</v>
      </c>
      <c r="F3" s="38">
        <f>SUM(D3,D5,D6,D7,D4)</f>
        <v>654</v>
      </c>
      <c r="I3" s="11" t="s">
        <v>5</v>
      </c>
    </row>
    <row r="4" spans="2:16" ht="15.75" thickBot="1" x14ac:dyDescent="0.3">
      <c r="B4" s="6" t="s">
        <v>128</v>
      </c>
      <c r="C4" s="7"/>
      <c r="D4" s="26">
        <f>SUM(P10:P25)</f>
        <v>0</v>
      </c>
      <c r="F4" s="37">
        <f>SUM(F11:F32)</f>
        <v>528</v>
      </c>
      <c r="I4" s="15">
        <f ca="1">TODAY()</f>
        <v>46002</v>
      </c>
    </row>
    <row r="5" spans="2:16" ht="15.75" thickBot="1" x14ac:dyDescent="0.3">
      <c r="B5" s="24" t="s">
        <v>6</v>
      </c>
      <c r="C5" s="25"/>
      <c r="D5" s="27"/>
      <c r="F5" s="98">
        <f>D4</f>
        <v>0</v>
      </c>
      <c r="I5" s="17" t="s">
        <v>7</v>
      </c>
    </row>
    <row r="6" spans="2:16" ht="15.75" thickBot="1" x14ac:dyDescent="0.3">
      <c r="B6" s="24" t="s">
        <v>132</v>
      </c>
      <c r="C6" s="25"/>
      <c r="D6" s="27"/>
      <c r="F6" s="36">
        <f>SUM(K11:K22)</f>
        <v>0</v>
      </c>
      <c r="I6" s="14">
        <v>45847</v>
      </c>
    </row>
    <row r="7" spans="2:16" ht="15.75" thickBot="1" x14ac:dyDescent="0.3">
      <c r="B7" s="8" t="s">
        <v>15</v>
      </c>
      <c r="C7" s="9"/>
      <c r="D7" s="28">
        <f>Jun!F7</f>
        <v>0</v>
      </c>
      <c r="F7" s="39">
        <f>F3-F4-F6</f>
        <v>126</v>
      </c>
    </row>
    <row r="8" spans="2:16" ht="15.75" thickBot="1" x14ac:dyDescent="0.3"/>
    <row r="9" spans="2:16" ht="15.75" thickBot="1" x14ac:dyDescent="0.3">
      <c r="B9" s="124" t="s">
        <v>8</v>
      </c>
      <c r="C9" s="125"/>
      <c r="D9" s="125"/>
      <c r="E9" s="125"/>
      <c r="F9" s="126"/>
      <c r="H9" s="127" t="s">
        <v>9</v>
      </c>
      <c r="I9" s="127"/>
      <c r="J9" s="127"/>
      <c r="K9" s="127"/>
      <c r="M9" s="91" t="s">
        <v>129</v>
      </c>
      <c r="N9" s="92" t="s">
        <v>130</v>
      </c>
      <c r="O9" s="93" t="s">
        <v>131</v>
      </c>
      <c r="P9" s="94" t="s">
        <v>74</v>
      </c>
    </row>
    <row r="10" spans="2:16" ht="15.75" thickBot="1" x14ac:dyDescent="0.3">
      <c r="B10" s="5" t="s">
        <v>5</v>
      </c>
      <c r="C10" s="5" t="s">
        <v>10</v>
      </c>
      <c r="D10" s="5" t="s">
        <v>11</v>
      </c>
      <c r="E10" s="5" t="s">
        <v>12</v>
      </c>
      <c r="F10" s="5" t="s">
        <v>2</v>
      </c>
      <c r="H10" s="5" t="s">
        <v>5</v>
      </c>
      <c r="I10" s="5" t="s">
        <v>13</v>
      </c>
      <c r="J10" s="5" t="s">
        <v>11</v>
      </c>
      <c r="K10" s="5" t="s">
        <v>2</v>
      </c>
      <c r="M10" s="89"/>
      <c r="N10" s="95"/>
      <c r="O10" s="90"/>
      <c r="P10" s="60"/>
    </row>
    <row r="11" spans="2:16" x14ac:dyDescent="0.25">
      <c r="B11" s="21">
        <v>45862</v>
      </c>
      <c r="C11" s="16" t="s">
        <v>21</v>
      </c>
      <c r="D11" s="16" t="s">
        <v>22</v>
      </c>
      <c r="E11" s="16" t="s">
        <v>23</v>
      </c>
      <c r="F11" s="33">
        <v>57</v>
      </c>
      <c r="H11" s="18"/>
      <c r="I11" s="13"/>
      <c r="J11" s="13"/>
      <c r="K11" s="60"/>
      <c r="M11" s="77"/>
      <c r="N11" s="96"/>
      <c r="O11" s="87"/>
      <c r="P11" s="61"/>
    </row>
    <row r="12" spans="2:16" x14ac:dyDescent="0.25">
      <c r="B12" s="22">
        <v>45894</v>
      </c>
      <c r="C12" s="7" t="s">
        <v>24</v>
      </c>
      <c r="D12" s="7" t="s">
        <v>25</v>
      </c>
      <c r="E12" s="7" t="s">
        <v>26</v>
      </c>
      <c r="F12" s="34">
        <v>460</v>
      </c>
      <c r="H12" s="19"/>
      <c r="I12" s="13"/>
      <c r="J12" s="1"/>
      <c r="K12" s="61"/>
      <c r="M12" s="77"/>
      <c r="N12" s="96"/>
      <c r="O12" s="87"/>
      <c r="P12" s="61"/>
    </row>
    <row r="13" spans="2:16" x14ac:dyDescent="0.25">
      <c r="B13" s="22">
        <v>45688</v>
      </c>
      <c r="C13" s="7" t="s">
        <v>27</v>
      </c>
      <c r="D13" s="7" t="s">
        <v>28</v>
      </c>
      <c r="E13" s="7" t="s">
        <v>29</v>
      </c>
      <c r="F13" s="34">
        <v>11</v>
      </c>
      <c r="H13" s="19"/>
      <c r="I13" s="13"/>
      <c r="J13" s="1"/>
      <c r="K13" s="61"/>
      <c r="M13" s="77"/>
      <c r="N13" s="96"/>
      <c r="O13" s="87"/>
      <c r="P13" s="61"/>
    </row>
    <row r="14" spans="2:16" x14ac:dyDescent="0.25">
      <c r="B14" s="22"/>
      <c r="C14" s="7"/>
      <c r="D14" s="7"/>
      <c r="E14" s="7"/>
      <c r="F14" s="34"/>
      <c r="H14" s="19"/>
      <c r="I14" s="13"/>
      <c r="J14" s="1"/>
      <c r="K14" s="61"/>
      <c r="M14" s="77"/>
      <c r="N14" s="96"/>
      <c r="O14" s="87"/>
      <c r="P14" s="61"/>
    </row>
    <row r="15" spans="2:16" x14ac:dyDescent="0.25">
      <c r="B15" s="22"/>
      <c r="C15" s="7"/>
      <c r="D15" s="7"/>
      <c r="E15" s="7"/>
      <c r="F15" s="34"/>
      <c r="H15" s="19"/>
      <c r="I15" s="13"/>
      <c r="J15" s="1"/>
      <c r="K15" s="61"/>
      <c r="M15" s="77"/>
      <c r="N15" s="96"/>
      <c r="O15" s="87"/>
      <c r="P15" s="61"/>
    </row>
    <row r="16" spans="2:16" x14ac:dyDescent="0.25">
      <c r="B16" s="22"/>
      <c r="C16" s="7"/>
      <c r="D16" s="7"/>
      <c r="E16" s="7"/>
      <c r="F16" s="34"/>
      <c r="H16" s="19"/>
      <c r="I16" s="13"/>
      <c r="J16" s="1"/>
      <c r="K16" s="61"/>
      <c r="M16" s="77"/>
      <c r="N16" s="96"/>
      <c r="O16" s="87"/>
      <c r="P16" s="61"/>
    </row>
    <row r="17" spans="2:16" x14ac:dyDescent="0.25">
      <c r="B17" s="22"/>
      <c r="C17" s="7"/>
      <c r="D17" s="7"/>
      <c r="E17" s="7"/>
      <c r="F17" s="34"/>
      <c r="H17" s="19"/>
      <c r="I17" s="13"/>
      <c r="J17" s="1"/>
      <c r="K17" s="61"/>
      <c r="M17" s="77"/>
      <c r="N17" s="96"/>
      <c r="O17" s="87"/>
      <c r="P17" s="61"/>
    </row>
    <row r="18" spans="2:16" x14ac:dyDescent="0.25">
      <c r="B18" s="22"/>
      <c r="C18" s="7"/>
      <c r="D18" s="7"/>
      <c r="E18" s="7"/>
      <c r="F18" s="34"/>
      <c r="H18" s="19"/>
      <c r="I18" s="13"/>
      <c r="J18" s="1"/>
      <c r="K18" s="61"/>
      <c r="M18" s="77"/>
      <c r="N18" s="96"/>
      <c r="O18" s="87"/>
      <c r="P18" s="61"/>
    </row>
    <row r="19" spans="2:16" x14ac:dyDescent="0.25">
      <c r="B19" s="22"/>
      <c r="C19" s="7"/>
      <c r="D19" s="7"/>
      <c r="E19" s="7"/>
      <c r="F19" s="34"/>
      <c r="H19" s="19"/>
      <c r="I19" s="13"/>
      <c r="J19" s="1"/>
      <c r="K19" s="61"/>
      <c r="M19" s="77"/>
      <c r="N19" s="96"/>
      <c r="O19" s="87"/>
      <c r="P19" s="61"/>
    </row>
    <row r="20" spans="2:16" x14ac:dyDescent="0.25">
      <c r="B20" s="22"/>
      <c r="C20" s="7"/>
      <c r="D20" s="7"/>
      <c r="E20" s="7"/>
      <c r="F20" s="34"/>
      <c r="H20" s="19"/>
      <c r="I20" s="13"/>
      <c r="J20" s="1"/>
      <c r="K20" s="61"/>
      <c r="M20" s="77"/>
      <c r="N20" s="96"/>
      <c r="O20" s="87"/>
      <c r="P20" s="61"/>
    </row>
    <row r="21" spans="2:16" x14ac:dyDescent="0.25">
      <c r="B21" s="22"/>
      <c r="C21" s="7"/>
      <c r="D21" s="7"/>
      <c r="E21" s="7"/>
      <c r="F21" s="34"/>
      <c r="H21" s="19"/>
      <c r="I21" s="13"/>
      <c r="J21" s="1"/>
      <c r="K21" s="61"/>
      <c r="M21" s="77"/>
      <c r="N21" s="96"/>
      <c r="O21" s="87"/>
      <c r="P21" s="61"/>
    </row>
    <row r="22" spans="2:16" ht="15.75" thickBot="1" x14ac:dyDescent="0.3">
      <c r="B22" s="22"/>
      <c r="C22" s="7"/>
      <c r="D22" s="7"/>
      <c r="E22" s="7"/>
      <c r="F22" s="34"/>
      <c r="H22" s="20"/>
      <c r="I22" s="3"/>
      <c r="J22" s="3"/>
      <c r="K22" s="62"/>
      <c r="M22" s="77"/>
      <c r="N22" s="96"/>
      <c r="O22" s="87"/>
      <c r="P22" s="61"/>
    </row>
    <row r="23" spans="2:16" x14ac:dyDescent="0.25">
      <c r="B23" s="22"/>
      <c r="C23" s="7"/>
      <c r="D23" s="7"/>
      <c r="E23" s="7"/>
      <c r="F23" s="34"/>
      <c r="M23" s="77"/>
      <c r="N23" s="96"/>
      <c r="O23" s="87"/>
      <c r="P23" s="61"/>
    </row>
    <row r="24" spans="2:16" x14ac:dyDescent="0.25">
      <c r="B24" s="22"/>
      <c r="C24" s="7"/>
      <c r="D24" s="7"/>
      <c r="E24" s="7"/>
      <c r="F24" s="34"/>
      <c r="M24" s="77"/>
      <c r="N24" s="96"/>
      <c r="O24" s="87"/>
      <c r="P24" s="61"/>
    </row>
    <row r="25" spans="2:16" ht="15.75" thickBot="1" x14ac:dyDescent="0.3">
      <c r="B25" s="22"/>
      <c r="C25" s="7"/>
      <c r="D25" s="7"/>
      <c r="E25" s="7"/>
      <c r="F25" s="34"/>
      <c r="M25" s="70"/>
      <c r="N25" s="97"/>
      <c r="O25" s="88"/>
      <c r="P25" s="62"/>
    </row>
    <row r="26" spans="2:16" x14ac:dyDescent="0.25">
      <c r="B26" s="22"/>
      <c r="C26" s="7"/>
      <c r="D26" s="7"/>
      <c r="E26" s="7"/>
      <c r="F26" s="34"/>
    </row>
    <row r="27" spans="2:16" x14ac:dyDescent="0.25">
      <c r="B27" s="22"/>
      <c r="C27" s="7"/>
      <c r="D27" s="7"/>
      <c r="E27" s="7"/>
      <c r="F27" s="34"/>
    </row>
    <row r="28" spans="2:16" x14ac:dyDescent="0.25">
      <c r="B28" s="22"/>
      <c r="C28" s="7"/>
      <c r="D28" s="7"/>
      <c r="E28" s="7"/>
      <c r="F28" s="34"/>
    </row>
    <row r="29" spans="2:16" x14ac:dyDescent="0.25">
      <c r="B29" s="22"/>
      <c r="C29" s="7"/>
      <c r="D29" s="7"/>
      <c r="E29" s="7"/>
      <c r="F29" s="34"/>
    </row>
    <row r="30" spans="2:16" x14ac:dyDescent="0.25">
      <c r="B30" s="22"/>
      <c r="C30" s="7"/>
      <c r="D30" s="7"/>
      <c r="E30" s="7"/>
      <c r="F30" s="34"/>
    </row>
    <row r="31" spans="2:16" x14ac:dyDescent="0.25">
      <c r="B31" s="22"/>
      <c r="C31" s="7"/>
      <c r="D31" s="7"/>
      <c r="E31" s="7"/>
      <c r="F31" s="34"/>
    </row>
    <row r="32" spans="2:16" ht="15.75" thickBot="1" x14ac:dyDescent="0.3">
      <c r="B32" s="23"/>
      <c r="C32" s="9"/>
      <c r="D32" s="9"/>
      <c r="E32" s="9"/>
      <c r="F32" s="35"/>
    </row>
    <row r="34" spans="2:9" ht="15.75" thickBot="1" x14ac:dyDescent="0.3"/>
    <row r="35" spans="2:9" x14ac:dyDescent="0.25">
      <c r="B35" s="72" t="s">
        <v>35</v>
      </c>
      <c r="C35" s="66" t="s">
        <v>120</v>
      </c>
      <c r="D35" s="67">
        <f>SUMIF($D$11:$D$32,C35,$F$11:$F$32)</f>
        <v>0</v>
      </c>
      <c r="H35" s="78" t="s">
        <v>111</v>
      </c>
      <c r="I35" s="67">
        <f>SUMIF($I$11:$I$22,H35,$K$11:$K$22)</f>
        <v>0</v>
      </c>
    </row>
    <row r="36" spans="2:9" ht="15.75" thickBot="1" x14ac:dyDescent="0.3">
      <c r="B36" s="73">
        <f>SUM(D35:D39)</f>
        <v>0</v>
      </c>
      <c r="C36" s="68" t="s">
        <v>80</v>
      </c>
      <c r="D36" s="69">
        <f t="shared" ref="D36:D88" si="0">SUMIF($D$11:$D$32,C36,$F$11:$F$32)</f>
        <v>0</v>
      </c>
      <c r="H36" s="79" t="s">
        <v>112</v>
      </c>
      <c r="I36" s="69">
        <f t="shared" ref="I36:I45" si="1">SUMIF($I$11:$I$22,H36,$K$11:$K$22)</f>
        <v>0</v>
      </c>
    </row>
    <row r="37" spans="2:9" x14ac:dyDescent="0.25">
      <c r="C37" s="68" t="s">
        <v>81</v>
      </c>
      <c r="D37" s="69">
        <f t="shared" si="0"/>
        <v>0</v>
      </c>
      <c r="H37" s="79" t="s">
        <v>113</v>
      </c>
      <c r="I37" s="69">
        <f t="shared" si="1"/>
        <v>0</v>
      </c>
    </row>
    <row r="38" spans="2:9" x14ac:dyDescent="0.25">
      <c r="C38" s="68" t="s">
        <v>36</v>
      </c>
      <c r="D38" s="69">
        <f t="shared" si="0"/>
        <v>0</v>
      </c>
      <c r="H38" s="79" t="s">
        <v>114</v>
      </c>
      <c r="I38" s="69">
        <f t="shared" si="1"/>
        <v>0</v>
      </c>
    </row>
    <row r="39" spans="2:9" ht="15.75" thickBot="1" x14ac:dyDescent="0.3">
      <c r="C39" s="76"/>
      <c r="D39" s="71">
        <f t="shared" si="0"/>
        <v>0</v>
      </c>
      <c r="H39" s="79" t="s">
        <v>115</v>
      </c>
      <c r="I39" s="69">
        <f t="shared" si="1"/>
        <v>0</v>
      </c>
    </row>
    <row r="40" spans="2:9" ht="15.75" thickBot="1" x14ac:dyDescent="0.3">
      <c r="C40" s="54"/>
      <c r="D40" s="63"/>
      <c r="H40" s="79" t="s">
        <v>116</v>
      </c>
      <c r="I40" s="69">
        <f t="shared" si="1"/>
        <v>0</v>
      </c>
    </row>
    <row r="41" spans="2:9" x14ac:dyDescent="0.25">
      <c r="B41" s="72" t="s">
        <v>21</v>
      </c>
      <c r="C41" s="66" t="s">
        <v>85</v>
      </c>
      <c r="D41" s="67">
        <f t="shared" si="0"/>
        <v>0</v>
      </c>
      <c r="H41" s="79" t="s">
        <v>117</v>
      </c>
      <c r="I41" s="69">
        <f t="shared" si="1"/>
        <v>0</v>
      </c>
    </row>
    <row r="42" spans="2:9" ht="15.75" thickBot="1" x14ac:dyDescent="0.3">
      <c r="B42" s="73">
        <f>SUBTOTAL(9,D41:D48)</f>
        <v>57</v>
      </c>
      <c r="C42" s="68" t="s">
        <v>22</v>
      </c>
      <c r="D42" s="69">
        <f t="shared" si="0"/>
        <v>57</v>
      </c>
      <c r="H42" s="79" t="s">
        <v>118</v>
      </c>
      <c r="I42" s="69">
        <f t="shared" si="1"/>
        <v>0</v>
      </c>
    </row>
    <row r="43" spans="2:9" x14ac:dyDescent="0.25">
      <c r="C43" s="68" t="s">
        <v>40</v>
      </c>
      <c r="D43" s="69">
        <f t="shared" si="0"/>
        <v>0</v>
      </c>
      <c r="H43" s="79" t="s">
        <v>84</v>
      </c>
      <c r="I43" s="69">
        <f t="shared" si="1"/>
        <v>0</v>
      </c>
    </row>
    <row r="44" spans="2:9" x14ac:dyDescent="0.25">
      <c r="C44" s="68" t="s">
        <v>87</v>
      </c>
      <c r="D44" s="69">
        <f t="shared" si="0"/>
        <v>0</v>
      </c>
      <c r="H44" s="79" t="s">
        <v>119</v>
      </c>
      <c r="I44" s="69">
        <f t="shared" si="1"/>
        <v>0</v>
      </c>
    </row>
    <row r="45" spans="2:9" ht="15.75" thickBot="1" x14ac:dyDescent="0.3">
      <c r="C45" s="68" t="s">
        <v>86</v>
      </c>
      <c r="D45" s="69">
        <f t="shared" si="0"/>
        <v>0</v>
      </c>
      <c r="H45" s="80"/>
      <c r="I45" s="71">
        <f t="shared" si="1"/>
        <v>0</v>
      </c>
    </row>
    <row r="46" spans="2:9" x14ac:dyDescent="0.25">
      <c r="C46" s="68" t="s">
        <v>43</v>
      </c>
      <c r="D46" s="69">
        <f t="shared" si="0"/>
        <v>0</v>
      </c>
    </row>
    <row r="47" spans="2:9" x14ac:dyDescent="0.25">
      <c r="C47" s="74"/>
      <c r="D47" s="75">
        <f t="shared" si="0"/>
        <v>0</v>
      </c>
    </row>
    <row r="48" spans="2:9" ht="15.75" thickBot="1" x14ac:dyDescent="0.3">
      <c r="C48" s="76"/>
      <c r="D48" s="71">
        <f t="shared" si="0"/>
        <v>0</v>
      </c>
    </row>
    <row r="49" spans="2:4" ht="15.75" thickBot="1" x14ac:dyDescent="0.3">
      <c r="D49" s="63"/>
    </row>
    <row r="50" spans="2:4" x14ac:dyDescent="0.25">
      <c r="B50" s="72" t="s">
        <v>27</v>
      </c>
      <c r="C50" s="66" t="s">
        <v>28</v>
      </c>
      <c r="D50" s="67">
        <f t="shared" si="0"/>
        <v>11</v>
      </c>
    </row>
    <row r="51" spans="2:4" ht="15.75" thickBot="1" x14ac:dyDescent="0.3">
      <c r="B51" s="73">
        <f>SUM(D50:D56)</f>
        <v>11</v>
      </c>
      <c r="C51" s="68" t="s">
        <v>88</v>
      </c>
      <c r="D51" s="69">
        <f t="shared" si="0"/>
        <v>0</v>
      </c>
    </row>
    <row r="52" spans="2:4" x14ac:dyDescent="0.25">
      <c r="C52" s="68" t="s">
        <v>89</v>
      </c>
      <c r="D52" s="69">
        <f t="shared" si="0"/>
        <v>0</v>
      </c>
    </row>
    <row r="53" spans="2:4" x14ac:dyDescent="0.25">
      <c r="C53" s="68" t="s">
        <v>51</v>
      </c>
      <c r="D53" s="69">
        <f t="shared" si="0"/>
        <v>0</v>
      </c>
    </row>
    <row r="54" spans="2:4" x14ac:dyDescent="0.25">
      <c r="C54" s="68" t="s">
        <v>90</v>
      </c>
      <c r="D54" s="69">
        <f t="shared" si="0"/>
        <v>0</v>
      </c>
    </row>
    <row r="55" spans="2:4" x14ac:dyDescent="0.25">
      <c r="C55" s="68" t="s">
        <v>58</v>
      </c>
      <c r="D55" s="69">
        <f t="shared" si="0"/>
        <v>0</v>
      </c>
    </row>
    <row r="56" spans="2:4" ht="15.75" thickBot="1" x14ac:dyDescent="0.3">
      <c r="C56" s="70"/>
      <c r="D56" s="71">
        <f t="shared" si="0"/>
        <v>0</v>
      </c>
    </row>
    <row r="57" spans="2:4" ht="15.75" thickBot="1" x14ac:dyDescent="0.3">
      <c r="D57" s="63"/>
    </row>
    <row r="58" spans="2:4" x14ac:dyDescent="0.25">
      <c r="B58" s="72" t="s">
        <v>24</v>
      </c>
      <c r="C58" s="66" t="s">
        <v>121</v>
      </c>
      <c r="D58" s="67">
        <f t="shared" si="0"/>
        <v>0</v>
      </c>
    </row>
    <row r="59" spans="2:4" ht="15.75" thickBot="1" x14ac:dyDescent="0.3">
      <c r="B59" s="73">
        <f>SUM(D58:D64)</f>
        <v>460</v>
      </c>
      <c r="C59" s="68" t="s">
        <v>32</v>
      </c>
      <c r="D59" s="69">
        <f t="shared" si="0"/>
        <v>0</v>
      </c>
    </row>
    <row r="60" spans="2:4" x14ac:dyDescent="0.25">
      <c r="C60" s="68" t="s">
        <v>91</v>
      </c>
      <c r="D60" s="69">
        <f t="shared" si="0"/>
        <v>0</v>
      </c>
    </row>
    <row r="61" spans="2:4" x14ac:dyDescent="0.25">
      <c r="C61" s="68" t="s">
        <v>92</v>
      </c>
      <c r="D61" s="69">
        <f t="shared" si="0"/>
        <v>0</v>
      </c>
    </row>
    <row r="62" spans="2:4" x14ac:dyDescent="0.25">
      <c r="C62" s="68" t="s">
        <v>93</v>
      </c>
      <c r="D62" s="69">
        <f t="shared" si="0"/>
        <v>0</v>
      </c>
    </row>
    <row r="63" spans="2:4" x14ac:dyDescent="0.25">
      <c r="C63" s="68" t="s">
        <v>25</v>
      </c>
      <c r="D63" s="69">
        <f t="shared" si="0"/>
        <v>460</v>
      </c>
    </row>
    <row r="64" spans="2:4" ht="15.75" thickBot="1" x14ac:dyDescent="0.3">
      <c r="C64" s="70"/>
      <c r="D64" s="71">
        <f t="shared" si="0"/>
        <v>0</v>
      </c>
    </row>
    <row r="65" spans="2:4" ht="15.75" thickBot="1" x14ac:dyDescent="0.3">
      <c r="D65" s="63"/>
    </row>
    <row r="66" spans="2:4" x14ac:dyDescent="0.25">
      <c r="B66" s="72" t="s">
        <v>83</v>
      </c>
      <c r="C66" s="66" t="s">
        <v>122</v>
      </c>
      <c r="D66" s="67">
        <f t="shared" si="0"/>
        <v>0</v>
      </c>
    </row>
    <row r="67" spans="2:4" ht="15.75" thickBot="1" x14ac:dyDescent="0.3">
      <c r="B67" s="73">
        <f>SUM(D66:D72)</f>
        <v>0</v>
      </c>
      <c r="C67" s="68" t="s">
        <v>95</v>
      </c>
      <c r="D67" s="69">
        <f t="shared" si="0"/>
        <v>0</v>
      </c>
    </row>
    <row r="68" spans="2:4" x14ac:dyDescent="0.25">
      <c r="C68" s="68" t="s">
        <v>96</v>
      </c>
      <c r="D68" s="69">
        <f t="shared" si="0"/>
        <v>0</v>
      </c>
    </row>
    <row r="69" spans="2:4" x14ac:dyDescent="0.25">
      <c r="C69" s="68" t="s">
        <v>123</v>
      </c>
      <c r="D69" s="69">
        <f t="shared" si="0"/>
        <v>0</v>
      </c>
    </row>
    <row r="70" spans="2:4" x14ac:dyDescent="0.25">
      <c r="C70" s="68" t="s">
        <v>98</v>
      </c>
      <c r="D70" s="69">
        <f t="shared" si="0"/>
        <v>0</v>
      </c>
    </row>
    <row r="71" spans="2:4" x14ac:dyDescent="0.25">
      <c r="C71" s="68" t="s">
        <v>99</v>
      </c>
      <c r="D71" s="69">
        <f t="shared" si="0"/>
        <v>0</v>
      </c>
    </row>
    <row r="72" spans="2:4" ht="15.75" thickBot="1" x14ac:dyDescent="0.3">
      <c r="C72" s="70"/>
      <c r="D72" s="71">
        <f t="shared" si="0"/>
        <v>0</v>
      </c>
    </row>
    <row r="73" spans="2:4" ht="15.75" thickBot="1" x14ac:dyDescent="0.3">
      <c r="D73" s="63"/>
    </row>
    <row r="74" spans="2:4" x14ac:dyDescent="0.25">
      <c r="B74" s="72" t="s">
        <v>84</v>
      </c>
      <c r="C74" s="66" t="s">
        <v>100</v>
      </c>
      <c r="D74" s="67">
        <f t="shared" si="0"/>
        <v>0</v>
      </c>
    </row>
    <row r="75" spans="2:4" ht="15.75" thickBot="1" x14ac:dyDescent="0.3">
      <c r="B75" s="73">
        <f>SUM(D74:D80)</f>
        <v>0</v>
      </c>
      <c r="C75" s="68" t="s">
        <v>101</v>
      </c>
      <c r="D75" s="69">
        <f t="shared" si="0"/>
        <v>0</v>
      </c>
    </row>
    <row r="76" spans="2:4" x14ac:dyDescent="0.25">
      <c r="C76" s="68" t="s">
        <v>103</v>
      </c>
      <c r="D76" s="69">
        <f t="shared" si="0"/>
        <v>0</v>
      </c>
    </row>
    <row r="77" spans="2:4" x14ac:dyDescent="0.25">
      <c r="C77" s="68" t="s">
        <v>105</v>
      </c>
      <c r="D77" s="69">
        <f t="shared" si="0"/>
        <v>0</v>
      </c>
    </row>
    <row r="78" spans="2:4" x14ac:dyDescent="0.25">
      <c r="C78" s="68"/>
      <c r="D78" s="69">
        <f t="shared" si="0"/>
        <v>0</v>
      </c>
    </row>
    <row r="79" spans="2:4" x14ac:dyDescent="0.25">
      <c r="C79" s="68"/>
      <c r="D79" s="69">
        <f t="shared" si="0"/>
        <v>0</v>
      </c>
    </row>
    <row r="80" spans="2:4" ht="15.75" thickBot="1" x14ac:dyDescent="0.3">
      <c r="C80" s="70"/>
      <c r="D80" s="71">
        <f t="shared" si="0"/>
        <v>0</v>
      </c>
    </row>
    <row r="81" spans="2:4" ht="15.75" thickBot="1" x14ac:dyDescent="0.3">
      <c r="D81" s="63"/>
    </row>
    <row r="82" spans="2:4" x14ac:dyDescent="0.25">
      <c r="B82" s="72" t="s">
        <v>45</v>
      </c>
      <c r="C82" s="66" t="s">
        <v>106</v>
      </c>
      <c r="D82" s="67">
        <f t="shared" si="0"/>
        <v>0</v>
      </c>
    </row>
    <row r="83" spans="2:4" ht="15.75" thickBot="1" x14ac:dyDescent="0.3">
      <c r="B83" s="73">
        <f>SUM(D82:D88)</f>
        <v>0</v>
      </c>
      <c r="C83" s="68" t="s">
        <v>107</v>
      </c>
      <c r="D83" s="69">
        <f>SUMIF($D$11:$D$32,C83,$F$11:$F$32)</f>
        <v>0</v>
      </c>
    </row>
    <row r="84" spans="2:4" x14ac:dyDescent="0.25">
      <c r="C84" s="68" t="s">
        <v>108</v>
      </c>
      <c r="D84" s="69">
        <f t="shared" si="0"/>
        <v>0</v>
      </c>
    </row>
    <row r="85" spans="2:4" x14ac:dyDescent="0.25">
      <c r="C85" s="68" t="s">
        <v>109</v>
      </c>
      <c r="D85" s="69">
        <f t="shared" si="0"/>
        <v>0</v>
      </c>
    </row>
    <row r="86" spans="2:4" x14ac:dyDescent="0.25">
      <c r="C86" s="68" t="s">
        <v>110</v>
      </c>
      <c r="D86" s="69">
        <f t="shared" si="0"/>
        <v>0</v>
      </c>
    </row>
    <row r="87" spans="2:4" x14ac:dyDescent="0.25">
      <c r="C87" s="68" t="s">
        <v>46</v>
      </c>
      <c r="D87" s="69">
        <f t="shared" si="0"/>
        <v>0</v>
      </c>
    </row>
    <row r="88" spans="2:4" ht="15.75" thickBot="1" x14ac:dyDescent="0.3">
      <c r="C88" s="70"/>
      <c r="D88" s="71">
        <f t="shared" si="0"/>
        <v>0</v>
      </c>
    </row>
  </sheetData>
  <mergeCells count="3">
    <mergeCell ref="H2:K2"/>
    <mergeCell ref="B9:F9"/>
    <mergeCell ref="H9:K9"/>
  </mergeCells>
  <dataValidations count="1">
    <dataValidation type="list" allowBlank="1" showInputMessage="1" showErrorMessage="1" sqref="D11:D32">
      <formula1>INDIRECT(C11)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Modelo!$P$3:$P$10</xm:f>
          </x14:formula1>
          <xm:sqref>C11:C32</xm:sqref>
        </x14:dataValidation>
        <x14:dataValidation type="list" allowBlank="1" showInputMessage="1" showErrorMessage="1">
          <x14:formula1>
            <xm:f>Modelo!$R$3:$R$14</xm:f>
          </x14:formula1>
          <xm:sqref>I11:I22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1:P88"/>
  <sheetViews>
    <sheetView showGridLines="0" zoomScale="70" zoomScaleNormal="70" workbookViewId="0">
      <selection activeCell="F4" sqref="F4"/>
    </sheetView>
  </sheetViews>
  <sheetFormatPr defaultRowHeight="15" x14ac:dyDescent="0.25"/>
  <cols>
    <col min="1" max="1" width="3" customWidth="1"/>
    <col min="2" max="2" width="12.140625" bestFit="1" customWidth="1"/>
    <col min="3" max="3" width="41.5703125" bestFit="1" customWidth="1"/>
    <col min="4" max="4" width="33.42578125" bestFit="1" customWidth="1"/>
    <col min="5" max="5" width="20.85546875" bestFit="1" customWidth="1"/>
    <col min="6" max="6" width="13.7109375" bestFit="1" customWidth="1"/>
    <col min="7" max="7" width="2.5703125" customWidth="1"/>
    <col min="8" max="8" width="17.85546875" bestFit="1" customWidth="1"/>
    <col min="9" max="9" width="13.7109375" bestFit="1" customWidth="1"/>
    <col min="10" max="10" width="18.7109375" bestFit="1" customWidth="1"/>
    <col min="11" max="11" width="11.85546875" customWidth="1"/>
    <col min="13" max="16" width="12" customWidth="1"/>
  </cols>
  <sheetData>
    <row r="1" spans="2:16" ht="15.75" thickBot="1" x14ac:dyDescent="0.3"/>
    <row r="2" spans="2:16" ht="15.75" thickBot="1" x14ac:dyDescent="0.3">
      <c r="B2" s="11" t="s">
        <v>30</v>
      </c>
      <c r="C2" s="32" t="s">
        <v>1</v>
      </c>
      <c r="D2" s="31" t="s">
        <v>2</v>
      </c>
      <c r="F2" s="5" t="s">
        <v>3</v>
      </c>
      <c r="H2" s="128"/>
      <c r="I2" s="128"/>
      <c r="J2" s="128"/>
      <c r="K2" s="128"/>
    </row>
    <row r="3" spans="2:16" ht="15.75" thickBot="1" x14ac:dyDescent="0.3">
      <c r="B3" s="10" t="s">
        <v>4</v>
      </c>
      <c r="C3" s="29"/>
      <c r="D3" s="30">
        <v>659.52</v>
      </c>
      <c r="F3" s="38">
        <f>SUM(D3,D5,D6,D7,D4)</f>
        <v>785.52</v>
      </c>
      <c r="I3" s="11" t="s">
        <v>5</v>
      </c>
    </row>
    <row r="4" spans="2:16" ht="15.75" thickBot="1" x14ac:dyDescent="0.3">
      <c r="B4" s="6" t="s">
        <v>128</v>
      </c>
      <c r="C4" s="7" t="s">
        <v>31</v>
      </c>
      <c r="D4" s="26">
        <f>SUM(P10:P25)</f>
        <v>0</v>
      </c>
      <c r="F4" s="37">
        <f>SUM(F11:F32)</f>
        <v>427.15</v>
      </c>
      <c r="I4" s="15">
        <f ca="1">TODAY()</f>
        <v>46002</v>
      </c>
    </row>
    <row r="5" spans="2:16" ht="15.75" thickBot="1" x14ac:dyDescent="0.3">
      <c r="B5" s="24" t="s">
        <v>6</v>
      </c>
      <c r="C5" s="25"/>
      <c r="D5" s="27"/>
      <c r="F5" s="98">
        <f>D4</f>
        <v>0</v>
      </c>
      <c r="I5" s="17" t="s">
        <v>7</v>
      </c>
    </row>
    <row r="6" spans="2:16" ht="15.75" thickBot="1" x14ac:dyDescent="0.3">
      <c r="B6" s="24" t="s">
        <v>132</v>
      </c>
      <c r="C6" s="25"/>
      <c r="D6" s="27"/>
      <c r="F6" s="36">
        <f>SUM(K11:K22)</f>
        <v>220</v>
      </c>
      <c r="I6" s="14">
        <v>45879</v>
      </c>
    </row>
    <row r="7" spans="2:16" ht="15.75" thickBot="1" x14ac:dyDescent="0.3">
      <c r="B7" s="8" t="s">
        <v>15</v>
      </c>
      <c r="C7" s="9"/>
      <c r="D7" s="28">
        <f>Jul!F7</f>
        <v>126</v>
      </c>
      <c r="F7" s="39">
        <f>F3-F4-F6</f>
        <v>138.37</v>
      </c>
    </row>
    <row r="8" spans="2:16" ht="15.75" thickBot="1" x14ac:dyDescent="0.3"/>
    <row r="9" spans="2:16" ht="15.75" thickBot="1" x14ac:dyDescent="0.3">
      <c r="B9" s="124" t="s">
        <v>8</v>
      </c>
      <c r="C9" s="125"/>
      <c r="D9" s="125"/>
      <c r="E9" s="125"/>
      <c r="F9" s="126"/>
      <c r="H9" s="127" t="s">
        <v>9</v>
      </c>
      <c r="I9" s="127"/>
      <c r="J9" s="127"/>
      <c r="K9" s="127"/>
      <c r="M9" s="91" t="s">
        <v>129</v>
      </c>
      <c r="N9" s="92" t="s">
        <v>130</v>
      </c>
      <c r="O9" s="93" t="s">
        <v>131</v>
      </c>
      <c r="P9" s="94" t="s">
        <v>74</v>
      </c>
    </row>
    <row r="10" spans="2:16" ht="15.75" thickBot="1" x14ac:dyDescent="0.3">
      <c r="B10" s="5" t="s">
        <v>5</v>
      </c>
      <c r="C10" s="5" t="s">
        <v>10</v>
      </c>
      <c r="D10" s="5" t="s">
        <v>11</v>
      </c>
      <c r="E10" s="5" t="s">
        <v>12</v>
      </c>
      <c r="F10" s="5" t="s">
        <v>2</v>
      </c>
      <c r="H10" s="5" t="s">
        <v>5</v>
      </c>
      <c r="I10" s="5" t="s">
        <v>13</v>
      </c>
      <c r="J10" s="5" t="s">
        <v>11</v>
      </c>
      <c r="K10" s="5" t="s">
        <v>2</v>
      </c>
      <c r="M10" s="89"/>
      <c r="N10" s="95"/>
      <c r="O10" s="90"/>
      <c r="P10" s="60"/>
    </row>
    <row r="11" spans="2:16" x14ac:dyDescent="0.25">
      <c r="B11" s="21">
        <v>45880</v>
      </c>
      <c r="C11" s="7" t="s">
        <v>24</v>
      </c>
      <c r="D11" s="7" t="s">
        <v>32</v>
      </c>
      <c r="E11" s="16" t="s">
        <v>33</v>
      </c>
      <c r="F11" s="33">
        <v>5</v>
      </c>
      <c r="H11" s="18">
        <v>45876</v>
      </c>
      <c r="I11" s="13"/>
      <c r="J11" s="13" t="s">
        <v>34</v>
      </c>
      <c r="K11" s="60">
        <v>60</v>
      </c>
      <c r="M11" s="77"/>
      <c r="N11" s="96"/>
      <c r="O11" s="87"/>
      <c r="P11" s="61"/>
    </row>
    <row r="12" spans="2:16" x14ac:dyDescent="0.25">
      <c r="B12" s="22">
        <v>45879</v>
      </c>
      <c r="C12" s="7" t="s">
        <v>35</v>
      </c>
      <c r="D12" s="7" t="s">
        <v>36</v>
      </c>
      <c r="E12" s="7" t="s">
        <v>37</v>
      </c>
      <c r="F12" s="34">
        <v>27</v>
      </c>
      <c r="H12" s="19">
        <v>45876</v>
      </c>
      <c r="I12" s="13"/>
      <c r="J12" s="1" t="s">
        <v>38</v>
      </c>
      <c r="K12" s="61">
        <v>130</v>
      </c>
      <c r="M12" s="77"/>
      <c r="N12" s="96"/>
      <c r="O12" s="87"/>
      <c r="P12" s="61"/>
    </row>
    <row r="13" spans="2:16" x14ac:dyDescent="0.25">
      <c r="B13" s="22">
        <v>45873</v>
      </c>
      <c r="C13" s="7" t="s">
        <v>24</v>
      </c>
      <c r="D13" s="7" t="s">
        <v>32</v>
      </c>
      <c r="E13" s="7" t="s">
        <v>33</v>
      </c>
      <c r="F13" s="34">
        <v>5</v>
      </c>
      <c r="H13" s="19">
        <v>45899</v>
      </c>
      <c r="I13" s="13"/>
      <c r="J13" s="1" t="s">
        <v>39</v>
      </c>
      <c r="K13" s="61">
        <v>30</v>
      </c>
      <c r="M13" s="77"/>
      <c r="N13" s="96"/>
      <c r="O13" s="87"/>
      <c r="P13" s="61"/>
    </row>
    <row r="14" spans="2:16" x14ac:dyDescent="0.25">
      <c r="B14" s="22">
        <v>45880</v>
      </c>
      <c r="C14" s="7" t="s">
        <v>21</v>
      </c>
      <c r="D14" s="7" t="s">
        <v>40</v>
      </c>
      <c r="E14" s="7" t="s">
        <v>41</v>
      </c>
      <c r="F14" s="34">
        <v>75</v>
      </c>
      <c r="H14" s="19"/>
      <c r="I14" s="13"/>
      <c r="J14" s="1"/>
      <c r="K14" s="61"/>
      <c r="M14" s="77"/>
      <c r="N14" s="96"/>
      <c r="O14" s="87"/>
      <c r="P14" s="61"/>
    </row>
    <row r="15" spans="2:16" x14ac:dyDescent="0.25">
      <c r="B15" s="22">
        <v>45881</v>
      </c>
      <c r="C15" s="7" t="s">
        <v>24</v>
      </c>
      <c r="D15" s="7" t="s">
        <v>32</v>
      </c>
      <c r="E15" s="7" t="s">
        <v>33</v>
      </c>
      <c r="F15" s="34">
        <v>5</v>
      </c>
      <c r="H15" s="19"/>
      <c r="I15" s="13"/>
      <c r="J15" s="1"/>
      <c r="K15" s="61"/>
      <c r="M15" s="77"/>
      <c r="N15" s="96"/>
      <c r="O15" s="87"/>
      <c r="P15" s="61"/>
    </row>
    <row r="16" spans="2:16" x14ac:dyDescent="0.25">
      <c r="B16" s="22">
        <v>45882</v>
      </c>
      <c r="C16" s="7" t="s">
        <v>24</v>
      </c>
      <c r="D16" s="7" t="s">
        <v>32</v>
      </c>
      <c r="E16" s="7" t="s">
        <v>33</v>
      </c>
      <c r="F16" s="34">
        <v>7</v>
      </c>
      <c r="H16" s="19"/>
      <c r="I16" s="13"/>
      <c r="J16" s="1"/>
      <c r="K16" s="61"/>
      <c r="M16" s="77"/>
      <c r="N16" s="96"/>
      <c r="O16" s="87"/>
      <c r="P16" s="61"/>
    </row>
    <row r="17" spans="2:16" x14ac:dyDescent="0.25">
      <c r="B17" s="22">
        <v>45882</v>
      </c>
      <c r="C17" s="7" t="s">
        <v>24</v>
      </c>
      <c r="D17" s="7" t="s">
        <v>32</v>
      </c>
      <c r="E17" s="7" t="s">
        <v>42</v>
      </c>
      <c r="F17" s="34">
        <v>5.31</v>
      </c>
      <c r="H17" s="19"/>
      <c r="I17" s="13"/>
      <c r="J17" s="1"/>
      <c r="K17" s="61"/>
      <c r="M17" s="77"/>
      <c r="N17" s="96"/>
      <c r="O17" s="87"/>
      <c r="P17" s="61"/>
    </row>
    <row r="18" spans="2:16" x14ac:dyDescent="0.25">
      <c r="B18" s="22">
        <v>45883</v>
      </c>
      <c r="C18" s="7" t="s">
        <v>24</v>
      </c>
      <c r="D18" s="7" t="s">
        <v>32</v>
      </c>
      <c r="E18" s="7" t="s">
        <v>33</v>
      </c>
      <c r="F18" s="34">
        <v>6.7</v>
      </c>
      <c r="H18" s="19"/>
      <c r="I18" s="13"/>
      <c r="J18" s="1"/>
      <c r="K18" s="61"/>
      <c r="M18" s="77"/>
      <c r="N18" s="96"/>
      <c r="O18" s="87"/>
      <c r="P18" s="61"/>
    </row>
    <row r="19" spans="2:16" x14ac:dyDescent="0.25">
      <c r="B19" s="22">
        <v>45883</v>
      </c>
      <c r="C19" s="7" t="s">
        <v>21</v>
      </c>
      <c r="D19" s="7" t="s">
        <v>43</v>
      </c>
      <c r="E19" s="7" t="s">
        <v>44</v>
      </c>
      <c r="F19" s="34">
        <v>6.14</v>
      </c>
      <c r="H19" s="19"/>
      <c r="I19" s="13"/>
      <c r="J19" s="1"/>
      <c r="K19" s="61"/>
      <c r="M19" s="77"/>
      <c r="N19" s="96"/>
      <c r="O19" s="87"/>
      <c r="P19" s="61"/>
    </row>
    <row r="20" spans="2:16" x14ac:dyDescent="0.25">
      <c r="B20" s="22">
        <v>45884</v>
      </c>
      <c r="C20" s="7" t="s">
        <v>45</v>
      </c>
      <c r="D20" s="7" t="s">
        <v>46</v>
      </c>
      <c r="E20" s="7" t="s">
        <v>47</v>
      </c>
      <c r="F20" s="34">
        <v>270</v>
      </c>
      <c r="H20" s="19"/>
      <c r="I20" s="13"/>
      <c r="J20" s="1"/>
      <c r="K20" s="61"/>
      <c r="M20" s="77"/>
      <c r="N20" s="96"/>
      <c r="O20" s="87"/>
      <c r="P20" s="61"/>
    </row>
    <row r="21" spans="2:16" x14ac:dyDescent="0.25">
      <c r="B21" s="22">
        <v>45885</v>
      </c>
      <c r="C21" s="7" t="s">
        <v>24</v>
      </c>
      <c r="D21" s="7" t="s">
        <v>32</v>
      </c>
      <c r="E21" s="7" t="s">
        <v>33</v>
      </c>
      <c r="F21" s="34">
        <v>7.5</v>
      </c>
      <c r="H21" s="19"/>
      <c r="I21" s="13"/>
      <c r="J21" s="1"/>
      <c r="K21" s="61"/>
      <c r="M21" s="77"/>
      <c r="N21" s="96"/>
      <c r="O21" s="87"/>
      <c r="P21" s="61"/>
    </row>
    <row r="22" spans="2:16" ht="15.75" thickBot="1" x14ac:dyDescent="0.3">
      <c r="B22" s="22">
        <v>45886</v>
      </c>
      <c r="C22" s="7" t="s">
        <v>24</v>
      </c>
      <c r="D22" s="7" t="s">
        <v>32</v>
      </c>
      <c r="E22" s="7" t="s">
        <v>33</v>
      </c>
      <c r="F22" s="34">
        <v>7.5</v>
      </c>
      <c r="H22" s="20"/>
      <c r="I22" s="3"/>
      <c r="J22" s="3"/>
      <c r="K22" s="62"/>
      <c r="M22" s="77"/>
      <c r="N22" s="96"/>
      <c r="O22" s="87"/>
      <c r="P22" s="61"/>
    </row>
    <row r="23" spans="2:16" x14ac:dyDescent="0.25">
      <c r="B23" s="22"/>
      <c r="C23" s="7"/>
      <c r="D23" s="7"/>
      <c r="E23" s="7"/>
      <c r="F23" s="34"/>
      <c r="M23" s="77"/>
      <c r="N23" s="96"/>
      <c r="O23" s="87"/>
      <c r="P23" s="61"/>
    </row>
    <row r="24" spans="2:16" x14ac:dyDescent="0.25">
      <c r="B24" s="22"/>
      <c r="C24" s="7"/>
      <c r="D24" s="7"/>
      <c r="E24" s="7"/>
      <c r="F24" s="34"/>
      <c r="M24" s="77"/>
      <c r="N24" s="96"/>
      <c r="O24" s="87"/>
      <c r="P24" s="61"/>
    </row>
    <row r="25" spans="2:16" ht="15.75" thickBot="1" x14ac:dyDescent="0.3">
      <c r="B25" s="22"/>
      <c r="C25" s="7"/>
      <c r="D25" s="7"/>
      <c r="E25" s="7"/>
      <c r="F25" s="34"/>
      <c r="M25" s="70"/>
      <c r="N25" s="97"/>
      <c r="O25" s="88"/>
      <c r="P25" s="62"/>
    </row>
    <row r="26" spans="2:16" x14ac:dyDescent="0.25">
      <c r="B26" s="22"/>
      <c r="C26" s="7"/>
      <c r="D26" s="7"/>
      <c r="E26" s="7"/>
      <c r="F26" s="34"/>
    </row>
    <row r="27" spans="2:16" x14ac:dyDescent="0.25">
      <c r="B27" s="22"/>
      <c r="C27" s="7"/>
      <c r="D27" s="7"/>
      <c r="E27" s="7"/>
      <c r="F27" s="34"/>
    </row>
    <row r="28" spans="2:16" x14ac:dyDescent="0.25">
      <c r="B28" s="22"/>
      <c r="C28" s="7"/>
      <c r="D28" s="7"/>
      <c r="E28" s="7"/>
      <c r="F28" s="34"/>
    </row>
    <row r="29" spans="2:16" x14ac:dyDescent="0.25">
      <c r="B29" s="22"/>
      <c r="C29" s="7"/>
      <c r="D29" s="7"/>
      <c r="E29" s="7"/>
      <c r="F29" s="34"/>
    </row>
    <row r="30" spans="2:16" x14ac:dyDescent="0.25">
      <c r="B30" s="22"/>
      <c r="C30" s="7"/>
      <c r="D30" s="7"/>
      <c r="E30" s="7"/>
      <c r="F30" s="34"/>
    </row>
    <row r="31" spans="2:16" x14ac:dyDescent="0.25">
      <c r="B31" s="22"/>
      <c r="C31" s="7"/>
      <c r="D31" s="7"/>
      <c r="E31" s="7"/>
      <c r="F31" s="34"/>
    </row>
    <row r="32" spans="2:16" ht="15.75" thickBot="1" x14ac:dyDescent="0.3">
      <c r="B32" s="23"/>
      <c r="C32" s="9"/>
      <c r="D32" s="9"/>
      <c r="E32" s="9"/>
      <c r="F32" s="35"/>
    </row>
    <row r="34" spans="2:9" ht="15.75" thickBot="1" x14ac:dyDescent="0.3"/>
    <row r="35" spans="2:9" x14ac:dyDescent="0.25">
      <c r="B35" s="72" t="s">
        <v>35</v>
      </c>
      <c r="C35" s="66" t="s">
        <v>120</v>
      </c>
      <c r="D35" s="67">
        <f>SUMIF($D$11:$D$32,C35,$F$11:$F$32)</f>
        <v>0</v>
      </c>
      <c r="H35" s="78" t="s">
        <v>111</v>
      </c>
      <c r="I35" s="67">
        <f>SUMIF($I$11:$I$22,H35,$K$11:$K$22)</f>
        <v>0</v>
      </c>
    </row>
    <row r="36" spans="2:9" ht="15.75" thickBot="1" x14ac:dyDescent="0.3">
      <c r="B36" s="73">
        <f>SUM(D35:D39)</f>
        <v>27</v>
      </c>
      <c r="C36" s="68" t="s">
        <v>80</v>
      </c>
      <c r="D36" s="69">
        <f t="shared" ref="D36:D88" si="0">SUMIF($D$11:$D$32,C36,$F$11:$F$32)</f>
        <v>0</v>
      </c>
      <c r="H36" s="79" t="s">
        <v>112</v>
      </c>
      <c r="I36" s="69">
        <f t="shared" ref="I36:I45" si="1">SUMIF($I$11:$I$22,H36,$K$11:$K$22)</f>
        <v>0</v>
      </c>
    </row>
    <row r="37" spans="2:9" x14ac:dyDescent="0.25">
      <c r="C37" s="68" t="s">
        <v>81</v>
      </c>
      <c r="D37" s="69">
        <f t="shared" si="0"/>
        <v>0</v>
      </c>
      <c r="H37" s="79" t="s">
        <v>113</v>
      </c>
      <c r="I37" s="69">
        <f t="shared" si="1"/>
        <v>0</v>
      </c>
    </row>
    <row r="38" spans="2:9" x14ac:dyDescent="0.25">
      <c r="C38" s="68" t="s">
        <v>36</v>
      </c>
      <c r="D38" s="69">
        <f t="shared" si="0"/>
        <v>27</v>
      </c>
      <c r="H38" s="79" t="s">
        <v>114</v>
      </c>
      <c r="I38" s="69">
        <f t="shared" si="1"/>
        <v>0</v>
      </c>
    </row>
    <row r="39" spans="2:9" ht="15.75" thickBot="1" x14ac:dyDescent="0.3">
      <c r="C39" s="76"/>
      <c r="D39" s="71">
        <f t="shared" si="0"/>
        <v>0</v>
      </c>
      <c r="H39" s="79" t="s">
        <v>115</v>
      </c>
      <c r="I39" s="69">
        <f t="shared" si="1"/>
        <v>0</v>
      </c>
    </row>
    <row r="40" spans="2:9" ht="15.75" thickBot="1" x14ac:dyDescent="0.3">
      <c r="C40" s="54"/>
      <c r="D40" s="63"/>
      <c r="H40" s="79" t="s">
        <v>116</v>
      </c>
      <c r="I40" s="69">
        <f t="shared" si="1"/>
        <v>0</v>
      </c>
    </row>
    <row r="41" spans="2:9" x14ac:dyDescent="0.25">
      <c r="B41" s="72" t="s">
        <v>21</v>
      </c>
      <c r="C41" s="66" t="s">
        <v>85</v>
      </c>
      <c r="D41" s="67">
        <f t="shared" si="0"/>
        <v>0</v>
      </c>
      <c r="H41" s="79" t="s">
        <v>117</v>
      </c>
      <c r="I41" s="69">
        <f t="shared" si="1"/>
        <v>0</v>
      </c>
    </row>
    <row r="42" spans="2:9" ht="15.75" thickBot="1" x14ac:dyDescent="0.3">
      <c r="B42" s="73">
        <f>SUBTOTAL(9,D41:D48)</f>
        <v>81.14</v>
      </c>
      <c r="C42" s="68" t="s">
        <v>22</v>
      </c>
      <c r="D42" s="69">
        <f t="shared" si="0"/>
        <v>0</v>
      </c>
      <c r="H42" s="79" t="s">
        <v>118</v>
      </c>
      <c r="I42" s="69">
        <f t="shared" si="1"/>
        <v>0</v>
      </c>
    </row>
    <row r="43" spans="2:9" x14ac:dyDescent="0.25">
      <c r="C43" s="68" t="s">
        <v>40</v>
      </c>
      <c r="D43" s="69">
        <f t="shared" si="0"/>
        <v>75</v>
      </c>
      <c r="H43" s="79" t="s">
        <v>84</v>
      </c>
      <c r="I43" s="69">
        <f t="shared" si="1"/>
        <v>0</v>
      </c>
    </row>
    <row r="44" spans="2:9" x14ac:dyDescent="0.25">
      <c r="C44" s="68" t="s">
        <v>87</v>
      </c>
      <c r="D44" s="69">
        <f t="shared" si="0"/>
        <v>0</v>
      </c>
      <c r="H44" s="79" t="s">
        <v>119</v>
      </c>
      <c r="I44" s="69">
        <f t="shared" si="1"/>
        <v>0</v>
      </c>
    </row>
    <row r="45" spans="2:9" ht="15.75" thickBot="1" x14ac:dyDescent="0.3">
      <c r="C45" s="68" t="s">
        <v>86</v>
      </c>
      <c r="D45" s="69">
        <f t="shared" si="0"/>
        <v>0</v>
      </c>
      <c r="H45" s="80"/>
      <c r="I45" s="71">
        <f t="shared" si="1"/>
        <v>0</v>
      </c>
    </row>
    <row r="46" spans="2:9" x14ac:dyDescent="0.25">
      <c r="C46" s="68" t="s">
        <v>43</v>
      </c>
      <c r="D46" s="69">
        <f t="shared" si="0"/>
        <v>6.14</v>
      </c>
    </row>
    <row r="47" spans="2:9" x14ac:dyDescent="0.25">
      <c r="C47" s="74"/>
      <c r="D47" s="75">
        <f t="shared" si="0"/>
        <v>0</v>
      </c>
    </row>
    <row r="48" spans="2:9" ht="15.75" thickBot="1" x14ac:dyDescent="0.3">
      <c r="C48" s="76"/>
      <c r="D48" s="71">
        <f t="shared" si="0"/>
        <v>0</v>
      </c>
    </row>
    <row r="49" spans="2:4" ht="15.75" thickBot="1" x14ac:dyDescent="0.3">
      <c r="D49" s="63"/>
    </row>
    <row r="50" spans="2:4" x14ac:dyDescent="0.25">
      <c r="B50" s="72" t="s">
        <v>27</v>
      </c>
      <c r="C50" s="66" t="s">
        <v>28</v>
      </c>
      <c r="D50" s="67">
        <f t="shared" si="0"/>
        <v>0</v>
      </c>
    </row>
    <row r="51" spans="2:4" ht="15.75" thickBot="1" x14ac:dyDescent="0.3">
      <c r="B51" s="73">
        <f>SUM(D50:D56)</f>
        <v>0</v>
      </c>
      <c r="C51" s="68" t="s">
        <v>88</v>
      </c>
      <c r="D51" s="69">
        <f t="shared" si="0"/>
        <v>0</v>
      </c>
    </row>
    <row r="52" spans="2:4" x14ac:dyDescent="0.25">
      <c r="C52" s="68" t="s">
        <v>89</v>
      </c>
      <c r="D52" s="69">
        <f t="shared" si="0"/>
        <v>0</v>
      </c>
    </row>
    <row r="53" spans="2:4" x14ac:dyDescent="0.25">
      <c r="C53" s="68" t="s">
        <v>51</v>
      </c>
      <c r="D53" s="69">
        <f t="shared" si="0"/>
        <v>0</v>
      </c>
    </row>
    <row r="54" spans="2:4" x14ac:dyDescent="0.25">
      <c r="C54" s="68" t="s">
        <v>90</v>
      </c>
      <c r="D54" s="69">
        <f t="shared" si="0"/>
        <v>0</v>
      </c>
    </row>
    <row r="55" spans="2:4" x14ac:dyDescent="0.25">
      <c r="C55" s="68" t="s">
        <v>58</v>
      </c>
      <c r="D55" s="69">
        <f t="shared" si="0"/>
        <v>0</v>
      </c>
    </row>
    <row r="56" spans="2:4" ht="15.75" thickBot="1" x14ac:dyDescent="0.3">
      <c r="C56" s="70"/>
      <c r="D56" s="71">
        <f t="shared" si="0"/>
        <v>0</v>
      </c>
    </row>
    <row r="57" spans="2:4" ht="15.75" thickBot="1" x14ac:dyDescent="0.3">
      <c r="D57" s="63"/>
    </row>
    <row r="58" spans="2:4" x14ac:dyDescent="0.25">
      <c r="B58" s="72" t="s">
        <v>24</v>
      </c>
      <c r="C58" s="66" t="s">
        <v>121</v>
      </c>
      <c r="D58" s="67">
        <f t="shared" si="0"/>
        <v>0</v>
      </c>
    </row>
    <row r="59" spans="2:4" ht="15.75" thickBot="1" x14ac:dyDescent="0.3">
      <c r="B59" s="73">
        <f>SUM(D58:D64)</f>
        <v>49.01</v>
      </c>
      <c r="C59" s="68" t="s">
        <v>32</v>
      </c>
      <c r="D59" s="69">
        <f t="shared" si="0"/>
        <v>49.01</v>
      </c>
    </row>
    <row r="60" spans="2:4" x14ac:dyDescent="0.25">
      <c r="C60" s="68" t="s">
        <v>91</v>
      </c>
      <c r="D60" s="69">
        <f t="shared" si="0"/>
        <v>0</v>
      </c>
    </row>
    <row r="61" spans="2:4" x14ac:dyDescent="0.25">
      <c r="C61" s="68" t="s">
        <v>92</v>
      </c>
      <c r="D61" s="69">
        <f t="shared" si="0"/>
        <v>0</v>
      </c>
    </row>
    <row r="62" spans="2:4" x14ac:dyDescent="0.25">
      <c r="C62" s="68" t="s">
        <v>93</v>
      </c>
      <c r="D62" s="69">
        <f t="shared" si="0"/>
        <v>0</v>
      </c>
    </row>
    <row r="63" spans="2:4" x14ac:dyDescent="0.25">
      <c r="C63" s="68" t="s">
        <v>25</v>
      </c>
      <c r="D63" s="69">
        <f t="shared" si="0"/>
        <v>0</v>
      </c>
    </row>
    <row r="64" spans="2:4" ht="15.75" thickBot="1" x14ac:dyDescent="0.3">
      <c r="C64" s="70"/>
      <c r="D64" s="71">
        <f t="shared" si="0"/>
        <v>0</v>
      </c>
    </row>
    <row r="65" spans="2:4" ht="15.75" thickBot="1" x14ac:dyDescent="0.3">
      <c r="D65" s="63"/>
    </row>
    <row r="66" spans="2:4" x14ac:dyDescent="0.25">
      <c r="B66" s="72" t="s">
        <v>83</v>
      </c>
      <c r="C66" s="66" t="s">
        <v>122</v>
      </c>
      <c r="D66" s="67">
        <f t="shared" si="0"/>
        <v>0</v>
      </c>
    </row>
    <row r="67" spans="2:4" ht="15.75" thickBot="1" x14ac:dyDescent="0.3">
      <c r="B67" s="73">
        <f>SUM(D66:D72)</f>
        <v>0</v>
      </c>
      <c r="C67" s="68" t="s">
        <v>95</v>
      </c>
      <c r="D67" s="69">
        <f t="shared" si="0"/>
        <v>0</v>
      </c>
    </row>
    <row r="68" spans="2:4" x14ac:dyDescent="0.25">
      <c r="C68" s="68" t="s">
        <v>96</v>
      </c>
      <c r="D68" s="69">
        <f t="shared" si="0"/>
        <v>0</v>
      </c>
    </row>
    <row r="69" spans="2:4" x14ac:dyDescent="0.25">
      <c r="C69" s="68" t="s">
        <v>123</v>
      </c>
      <c r="D69" s="69">
        <f t="shared" si="0"/>
        <v>0</v>
      </c>
    </row>
    <row r="70" spans="2:4" x14ac:dyDescent="0.25">
      <c r="C70" s="68" t="s">
        <v>98</v>
      </c>
      <c r="D70" s="69">
        <f t="shared" si="0"/>
        <v>0</v>
      </c>
    </row>
    <row r="71" spans="2:4" x14ac:dyDescent="0.25">
      <c r="C71" s="68" t="s">
        <v>99</v>
      </c>
      <c r="D71" s="69">
        <f t="shared" si="0"/>
        <v>0</v>
      </c>
    </row>
    <row r="72" spans="2:4" ht="15.75" thickBot="1" x14ac:dyDescent="0.3">
      <c r="C72" s="70"/>
      <c r="D72" s="71">
        <f t="shared" si="0"/>
        <v>0</v>
      </c>
    </row>
    <row r="73" spans="2:4" ht="15.75" thickBot="1" x14ac:dyDescent="0.3">
      <c r="D73" s="63"/>
    </row>
    <row r="74" spans="2:4" x14ac:dyDescent="0.25">
      <c r="B74" s="72" t="s">
        <v>84</v>
      </c>
      <c r="C74" s="66" t="s">
        <v>100</v>
      </c>
      <c r="D74" s="67">
        <f t="shared" si="0"/>
        <v>0</v>
      </c>
    </row>
    <row r="75" spans="2:4" ht="15.75" thickBot="1" x14ac:dyDescent="0.3">
      <c r="B75" s="73">
        <f>SUM(D74:D80)</f>
        <v>0</v>
      </c>
      <c r="C75" s="68" t="s">
        <v>101</v>
      </c>
      <c r="D75" s="69">
        <f t="shared" si="0"/>
        <v>0</v>
      </c>
    </row>
    <row r="76" spans="2:4" x14ac:dyDescent="0.25">
      <c r="C76" s="68" t="s">
        <v>103</v>
      </c>
      <c r="D76" s="69">
        <f t="shared" si="0"/>
        <v>0</v>
      </c>
    </row>
    <row r="77" spans="2:4" x14ac:dyDescent="0.25">
      <c r="C77" s="68" t="s">
        <v>105</v>
      </c>
      <c r="D77" s="69">
        <f t="shared" si="0"/>
        <v>0</v>
      </c>
    </row>
    <row r="78" spans="2:4" x14ac:dyDescent="0.25">
      <c r="C78" s="68"/>
      <c r="D78" s="69">
        <f t="shared" si="0"/>
        <v>0</v>
      </c>
    </row>
    <row r="79" spans="2:4" x14ac:dyDescent="0.25">
      <c r="C79" s="68"/>
      <c r="D79" s="69">
        <f t="shared" si="0"/>
        <v>0</v>
      </c>
    </row>
    <row r="80" spans="2:4" ht="15.75" thickBot="1" x14ac:dyDescent="0.3">
      <c r="C80" s="70"/>
      <c r="D80" s="71">
        <f t="shared" si="0"/>
        <v>0</v>
      </c>
    </row>
    <row r="81" spans="2:4" ht="15.75" thickBot="1" x14ac:dyDescent="0.3">
      <c r="D81" s="63"/>
    </row>
    <row r="82" spans="2:4" x14ac:dyDescent="0.25">
      <c r="B82" s="72" t="s">
        <v>45</v>
      </c>
      <c r="C82" s="66" t="s">
        <v>106</v>
      </c>
      <c r="D82" s="67">
        <f t="shared" si="0"/>
        <v>0</v>
      </c>
    </row>
    <row r="83" spans="2:4" ht="15.75" thickBot="1" x14ac:dyDescent="0.3">
      <c r="B83" s="73">
        <f>SUM(D82:D88)</f>
        <v>270</v>
      </c>
      <c r="C83" s="68" t="s">
        <v>107</v>
      </c>
      <c r="D83" s="69">
        <f>SUMIF($D$11:$D$32,C83,$F$11:$F$32)</f>
        <v>0</v>
      </c>
    </row>
    <row r="84" spans="2:4" x14ac:dyDescent="0.25">
      <c r="C84" s="68" t="s">
        <v>108</v>
      </c>
      <c r="D84" s="69">
        <f t="shared" si="0"/>
        <v>0</v>
      </c>
    </row>
    <row r="85" spans="2:4" x14ac:dyDescent="0.25">
      <c r="C85" s="68" t="s">
        <v>109</v>
      </c>
      <c r="D85" s="69">
        <f t="shared" si="0"/>
        <v>0</v>
      </c>
    </row>
    <row r="86" spans="2:4" x14ac:dyDescent="0.25">
      <c r="C86" s="68" t="s">
        <v>110</v>
      </c>
      <c r="D86" s="69">
        <f t="shared" si="0"/>
        <v>0</v>
      </c>
    </row>
    <row r="87" spans="2:4" x14ac:dyDescent="0.25">
      <c r="C87" s="68" t="s">
        <v>46</v>
      </c>
      <c r="D87" s="69">
        <f t="shared" si="0"/>
        <v>270</v>
      </c>
    </row>
    <row r="88" spans="2:4" ht="15.75" thickBot="1" x14ac:dyDescent="0.3">
      <c r="C88" s="70"/>
      <c r="D88" s="71">
        <f t="shared" si="0"/>
        <v>0</v>
      </c>
    </row>
  </sheetData>
  <mergeCells count="3">
    <mergeCell ref="H2:K2"/>
    <mergeCell ref="B9:F9"/>
    <mergeCell ref="H9:K9"/>
  </mergeCells>
  <dataValidations count="1">
    <dataValidation type="list" allowBlank="1" showInputMessage="1" showErrorMessage="1" sqref="D11:D32">
      <formula1>INDIRECT(C11)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Modelo!$P$3:$P$10</xm:f>
          </x14:formula1>
          <xm:sqref>C11:C32</xm:sqref>
        </x14:dataValidation>
        <x14:dataValidation type="list" allowBlank="1" showInputMessage="1" showErrorMessage="1">
          <x14:formula1>
            <xm:f>Modelo!$R$3:$R$14</xm:f>
          </x14:formula1>
          <xm:sqref>I11:I22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1:P88"/>
  <sheetViews>
    <sheetView showGridLines="0" zoomScale="70" zoomScaleNormal="70" workbookViewId="0">
      <selection activeCell="F4" sqref="F4"/>
    </sheetView>
  </sheetViews>
  <sheetFormatPr defaultRowHeight="15" x14ac:dyDescent="0.25"/>
  <cols>
    <col min="1" max="1" width="3" customWidth="1"/>
    <col min="2" max="2" width="12.140625" bestFit="1" customWidth="1"/>
    <col min="3" max="3" width="41.5703125" bestFit="1" customWidth="1"/>
    <col min="4" max="4" width="31.28515625" bestFit="1" customWidth="1"/>
    <col min="5" max="5" width="9.28515625" bestFit="1" customWidth="1"/>
    <col min="6" max="6" width="13.7109375" bestFit="1" customWidth="1"/>
    <col min="7" max="7" width="2.5703125" customWidth="1"/>
    <col min="8" max="8" width="19.42578125" bestFit="1" customWidth="1"/>
    <col min="9" max="9" width="13.7109375" bestFit="1" customWidth="1"/>
    <col min="10" max="11" width="11.85546875" customWidth="1"/>
    <col min="13" max="16" width="12" customWidth="1"/>
  </cols>
  <sheetData>
    <row r="1" spans="2:16" ht="15.75" thickBot="1" x14ac:dyDescent="0.3"/>
    <row r="2" spans="2:16" ht="15.75" thickBot="1" x14ac:dyDescent="0.3">
      <c r="B2" s="11" t="s">
        <v>48</v>
      </c>
      <c r="C2" s="32" t="s">
        <v>1</v>
      </c>
      <c r="D2" s="31" t="s">
        <v>2</v>
      </c>
      <c r="F2" s="5" t="s">
        <v>3</v>
      </c>
      <c r="H2" s="128"/>
      <c r="I2" s="128"/>
      <c r="J2" s="128"/>
      <c r="K2" s="128"/>
    </row>
    <row r="3" spans="2:16" ht="15.75" thickBot="1" x14ac:dyDescent="0.3">
      <c r="B3" s="10" t="s">
        <v>4</v>
      </c>
      <c r="C3" s="29"/>
      <c r="D3" s="30">
        <v>659.52</v>
      </c>
      <c r="F3" s="38">
        <f>SUM(D3,D5,D6,D7,D4)</f>
        <v>797.89</v>
      </c>
      <c r="I3" s="11" t="s">
        <v>5</v>
      </c>
    </row>
    <row r="4" spans="2:16" ht="15.75" thickBot="1" x14ac:dyDescent="0.3">
      <c r="B4" s="6" t="s">
        <v>128</v>
      </c>
      <c r="C4" s="7"/>
      <c r="D4" s="26">
        <f>SUM(P10:P25)</f>
        <v>0</v>
      </c>
      <c r="F4" s="37">
        <f>SUM(F11:F32)</f>
        <v>177.39</v>
      </c>
      <c r="I4" s="15">
        <f ca="1">TODAY()</f>
        <v>46002</v>
      </c>
    </row>
    <row r="5" spans="2:16" ht="15.75" thickBot="1" x14ac:dyDescent="0.3">
      <c r="B5" s="24" t="s">
        <v>6</v>
      </c>
      <c r="C5" s="25"/>
      <c r="D5" s="27"/>
      <c r="F5" s="98">
        <f>D4</f>
        <v>0</v>
      </c>
      <c r="I5" s="17" t="s">
        <v>7</v>
      </c>
    </row>
    <row r="6" spans="2:16" ht="15.75" thickBot="1" x14ac:dyDescent="0.3">
      <c r="B6" s="24" t="s">
        <v>132</v>
      </c>
      <c r="C6" s="25"/>
      <c r="D6" s="27"/>
      <c r="F6" s="36">
        <f>SUM(K11:K22)</f>
        <v>283.8</v>
      </c>
      <c r="I6" s="14">
        <v>45847</v>
      </c>
    </row>
    <row r="7" spans="2:16" ht="15.75" thickBot="1" x14ac:dyDescent="0.3">
      <c r="B7" s="8" t="s">
        <v>15</v>
      </c>
      <c r="C7" s="9"/>
      <c r="D7" s="28">
        <f>Ago!F7</f>
        <v>138.37</v>
      </c>
      <c r="F7" s="39">
        <f>F3-F4-F6</f>
        <v>336.7</v>
      </c>
    </row>
    <row r="8" spans="2:16" ht="15.75" thickBot="1" x14ac:dyDescent="0.3"/>
    <row r="9" spans="2:16" ht="15.75" thickBot="1" x14ac:dyDescent="0.3">
      <c r="B9" s="124" t="s">
        <v>8</v>
      </c>
      <c r="C9" s="125"/>
      <c r="D9" s="125"/>
      <c r="E9" s="125"/>
      <c r="F9" s="126"/>
      <c r="H9" s="127" t="s">
        <v>9</v>
      </c>
      <c r="I9" s="127"/>
      <c r="J9" s="127"/>
      <c r="K9" s="127"/>
      <c r="M9" s="91" t="s">
        <v>129</v>
      </c>
      <c r="N9" s="92" t="s">
        <v>130</v>
      </c>
      <c r="O9" s="93" t="s">
        <v>131</v>
      </c>
      <c r="P9" s="94" t="s">
        <v>74</v>
      </c>
    </row>
    <row r="10" spans="2:16" ht="15.75" thickBot="1" x14ac:dyDescent="0.3">
      <c r="B10" s="5" t="s">
        <v>5</v>
      </c>
      <c r="C10" s="5" t="s">
        <v>10</v>
      </c>
      <c r="D10" s="5" t="s">
        <v>11</v>
      </c>
      <c r="E10" s="5" t="s">
        <v>12</v>
      </c>
      <c r="F10" s="5" t="s">
        <v>2</v>
      </c>
      <c r="H10" s="5" t="s">
        <v>5</v>
      </c>
      <c r="I10" s="5" t="s">
        <v>13</v>
      </c>
      <c r="J10" s="5" t="s">
        <v>11</v>
      </c>
      <c r="K10" s="5" t="s">
        <v>2</v>
      </c>
      <c r="M10" s="89"/>
      <c r="N10" s="95"/>
      <c r="O10" s="90"/>
      <c r="P10" s="60"/>
    </row>
    <row r="11" spans="2:16" x14ac:dyDescent="0.25">
      <c r="B11" s="21">
        <v>45901</v>
      </c>
      <c r="C11" s="16" t="s">
        <v>24</v>
      </c>
      <c r="D11" s="16" t="s">
        <v>32</v>
      </c>
      <c r="E11" s="16" t="s">
        <v>49</v>
      </c>
      <c r="F11" s="33">
        <v>5.5</v>
      </c>
      <c r="H11" s="18">
        <v>45901</v>
      </c>
      <c r="I11" s="13" t="s">
        <v>118</v>
      </c>
      <c r="J11" s="13" t="s">
        <v>50</v>
      </c>
      <c r="K11" s="60">
        <v>277</v>
      </c>
      <c r="M11" s="77"/>
      <c r="N11" s="96"/>
      <c r="O11" s="87"/>
      <c r="P11" s="61"/>
    </row>
    <row r="12" spans="2:16" x14ac:dyDescent="0.25">
      <c r="B12" s="22">
        <v>45903</v>
      </c>
      <c r="C12" s="7" t="s">
        <v>27</v>
      </c>
      <c r="D12" s="7" t="s">
        <v>51</v>
      </c>
      <c r="E12" s="7" t="s">
        <v>52</v>
      </c>
      <c r="F12" s="34">
        <v>85.29</v>
      </c>
      <c r="H12" s="19">
        <v>45906</v>
      </c>
      <c r="I12" s="13" t="s">
        <v>112</v>
      </c>
      <c r="J12" s="1" t="s">
        <v>53</v>
      </c>
      <c r="K12" s="61">
        <v>6.8</v>
      </c>
      <c r="M12" s="77"/>
      <c r="N12" s="96"/>
      <c r="O12" s="87"/>
      <c r="P12" s="61"/>
    </row>
    <row r="13" spans="2:16" x14ac:dyDescent="0.25">
      <c r="B13" s="22">
        <v>45903</v>
      </c>
      <c r="C13" s="7" t="s">
        <v>35</v>
      </c>
      <c r="D13" s="7" t="s">
        <v>36</v>
      </c>
      <c r="E13" s="7" t="s">
        <v>54</v>
      </c>
      <c r="F13" s="34">
        <v>1.6</v>
      </c>
      <c r="H13" s="19"/>
      <c r="I13" s="13"/>
      <c r="J13" s="1"/>
      <c r="K13" s="61"/>
      <c r="M13" s="77"/>
      <c r="N13" s="96"/>
      <c r="O13" s="87"/>
      <c r="P13" s="61"/>
    </row>
    <row r="14" spans="2:16" x14ac:dyDescent="0.25">
      <c r="B14" s="22">
        <v>1209</v>
      </c>
      <c r="C14" s="7" t="s">
        <v>27</v>
      </c>
      <c r="D14" s="7" t="s">
        <v>28</v>
      </c>
      <c r="E14" s="7" t="s">
        <v>55</v>
      </c>
      <c r="F14" s="34">
        <v>75</v>
      </c>
      <c r="H14" s="19"/>
      <c r="I14" s="13"/>
      <c r="J14" s="1"/>
      <c r="K14" s="61"/>
      <c r="M14" s="77"/>
      <c r="N14" s="96"/>
      <c r="O14" s="87"/>
      <c r="P14" s="61"/>
    </row>
    <row r="15" spans="2:16" x14ac:dyDescent="0.25">
      <c r="B15" s="22">
        <v>45918</v>
      </c>
      <c r="C15" s="7" t="s">
        <v>21</v>
      </c>
      <c r="D15" s="7" t="s">
        <v>43</v>
      </c>
      <c r="E15" s="7" t="s">
        <v>56</v>
      </c>
      <c r="F15" s="34">
        <v>10</v>
      </c>
      <c r="H15" s="19"/>
      <c r="I15" s="13"/>
      <c r="J15" s="1"/>
      <c r="K15" s="61"/>
      <c r="M15" s="77"/>
      <c r="N15" s="96"/>
      <c r="O15" s="87"/>
      <c r="P15" s="61"/>
    </row>
    <row r="16" spans="2:16" x14ac:dyDescent="0.25">
      <c r="B16" s="22"/>
      <c r="C16" s="7"/>
      <c r="D16" s="7"/>
      <c r="E16" s="7"/>
      <c r="F16" s="34"/>
      <c r="H16" s="19"/>
      <c r="I16" s="13"/>
      <c r="J16" s="1"/>
      <c r="K16" s="61"/>
      <c r="M16" s="77"/>
      <c r="N16" s="96"/>
      <c r="O16" s="87"/>
      <c r="P16" s="61"/>
    </row>
    <row r="17" spans="2:16" x14ac:dyDescent="0.25">
      <c r="B17" s="22"/>
      <c r="C17" s="7"/>
      <c r="D17" s="7"/>
      <c r="E17" s="7"/>
      <c r="F17" s="34"/>
      <c r="H17" s="19"/>
      <c r="I17" s="13"/>
      <c r="J17" s="1"/>
      <c r="K17" s="61"/>
      <c r="M17" s="77"/>
      <c r="N17" s="96"/>
      <c r="O17" s="87"/>
      <c r="P17" s="61"/>
    </row>
    <row r="18" spans="2:16" x14ac:dyDescent="0.25">
      <c r="B18" s="22"/>
      <c r="C18" s="7"/>
      <c r="D18" s="7"/>
      <c r="E18" s="7"/>
      <c r="F18" s="34"/>
      <c r="H18" s="19"/>
      <c r="I18" s="13"/>
      <c r="J18" s="1"/>
      <c r="K18" s="61"/>
      <c r="M18" s="77"/>
      <c r="N18" s="96"/>
      <c r="O18" s="87"/>
      <c r="P18" s="61"/>
    </row>
    <row r="19" spans="2:16" x14ac:dyDescent="0.25">
      <c r="B19" s="22"/>
      <c r="C19" s="7"/>
      <c r="D19" s="7"/>
      <c r="E19" s="7"/>
      <c r="F19" s="34"/>
      <c r="H19" s="19"/>
      <c r="I19" s="13"/>
      <c r="J19" s="1"/>
      <c r="K19" s="61"/>
      <c r="M19" s="77"/>
      <c r="N19" s="96"/>
      <c r="O19" s="87"/>
      <c r="P19" s="61"/>
    </row>
    <row r="20" spans="2:16" x14ac:dyDescent="0.25">
      <c r="B20" s="22"/>
      <c r="C20" s="7"/>
      <c r="D20" s="7"/>
      <c r="E20" s="7"/>
      <c r="F20" s="34"/>
      <c r="H20" s="19"/>
      <c r="I20" s="13"/>
      <c r="J20" s="1"/>
      <c r="K20" s="61"/>
      <c r="M20" s="77"/>
      <c r="N20" s="96"/>
      <c r="O20" s="87"/>
      <c r="P20" s="61"/>
    </row>
    <row r="21" spans="2:16" x14ac:dyDescent="0.25">
      <c r="B21" s="22"/>
      <c r="C21" s="7"/>
      <c r="D21" s="7"/>
      <c r="E21" s="7"/>
      <c r="F21" s="34"/>
      <c r="H21" s="19"/>
      <c r="I21" s="13"/>
      <c r="J21" s="1"/>
      <c r="K21" s="61"/>
      <c r="M21" s="77"/>
      <c r="N21" s="96"/>
      <c r="O21" s="87"/>
      <c r="P21" s="61"/>
    </row>
    <row r="22" spans="2:16" ht="15.75" thickBot="1" x14ac:dyDescent="0.3">
      <c r="B22" s="22"/>
      <c r="C22" s="7"/>
      <c r="D22" s="7"/>
      <c r="E22" s="7"/>
      <c r="F22" s="34"/>
      <c r="H22" s="20"/>
      <c r="I22" s="3"/>
      <c r="J22" s="3"/>
      <c r="K22" s="62"/>
      <c r="M22" s="77"/>
      <c r="N22" s="96"/>
      <c r="O22" s="87"/>
      <c r="P22" s="61"/>
    </row>
    <row r="23" spans="2:16" x14ac:dyDescent="0.25">
      <c r="B23" s="22"/>
      <c r="C23" s="7"/>
      <c r="D23" s="7"/>
      <c r="E23" s="7"/>
      <c r="F23" s="34"/>
      <c r="M23" s="77"/>
      <c r="N23" s="96"/>
      <c r="O23" s="87"/>
      <c r="P23" s="61"/>
    </row>
    <row r="24" spans="2:16" x14ac:dyDescent="0.25">
      <c r="B24" s="22"/>
      <c r="C24" s="7"/>
      <c r="D24" s="7"/>
      <c r="E24" s="7"/>
      <c r="F24" s="34"/>
      <c r="M24" s="77"/>
      <c r="N24" s="96"/>
      <c r="O24" s="87"/>
      <c r="P24" s="61"/>
    </row>
    <row r="25" spans="2:16" ht="15.75" thickBot="1" x14ac:dyDescent="0.3">
      <c r="B25" s="22"/>
      <c r="C25" s="7"/>
      <c r="D25" s="7"/>
      <c r="E25" s="7"/>
      <c r="F25" s="34"/>
      <c r="M25" s="70"/>
      <c r="N25" s="97"/>
      <c r="O25" s="88"/>
      <c r="P25" s="62"/>
    </row>
    <row r="26" spans="2:16" x14ac:dyDescent="0.25">
      <c r="B26" s="22"/>
      <c r="C26" s="7"/>
      <c r="D26" s="7"/>
      <c r="E26" s="7"/>
      <c r="F26" s="34"/>
    </row>
    <row r="27" spans="2:16" x14ac:dyDescent="0.25">
      <c r="B27" s="22"/>
      <c r="C27" s="7"/>
      <c r="D27" s="7"/>
      <c r="E27" s="7"/>
      <c r="F27" s="34"/>
    </row>
    <row r="28" spans="2:16" x14ac:dyDescent="0.25">
      <c r="B28" s="22"/>
      <c r="C28" s="7"/>
      <c r="D28" s="7"/>
      <c r="E28" s="7"/>
      <c r="F28" s="34"/>
    </row>
    <row r="29" spans="2:16" x14ac:dyDescent="0.25">
      <c r="B29" s="22"/>
      <c r="C29" s="7"/>
      <c r="D29" s="7"/>
      <c r="E29" s="7"/>
      <c r="F29" s="34"/>
    </row>
    <row r="30" spans="2:16" x14ac:dyDescent="0.25">
      <c r="B30" s="22"/>
      <c r="C30" s="7"/>
      <c r="D30" s="7"/>
      <c r="E30" s="7"/>
      <c r="F30" s="34"/>
    </row>
    <row r="31" spans="2:16" x14ac:dyDescent="0.25">
      <c r="B31" s="22"/>
      <c r="C31" s="7"/>
      <c r="D31" s="7"/>
      <c r="E31" s="7"/>
      <c r="F31" s="34"/>
    </row>
    <row r="32" spans="2:16" ht="15.75" thickBot="1" x14ac:dyDescent="0.3">
      <c r="B32" s="23"/>
      <c r="C32" s="9"/>
      <c r="D32" s="9"/>
      <c r="E32" s="9"/>
      <c r="F32" s="35"/>
    </row>
    <row r="34" spans="2:9" ht="15.75" thickBot="1" x14ac:dyDescent="0.3"/>
    <row r="35" spans="2:9" x14ac:dyDescent="0.25">
      <c r="B35" s="72" t="s">
        <v>35</v>
      </c>
      <c r="C35" s="66" t="s">
        <v>120</v>
      </c>
      <c r="D35" s="67">
        <f>SUMIF($D$11:$D$32,C35,$F$11:$F$32)</f>
        <v>0</v>
      </c>
      <c r="H35" s="78" t="s">
        <v>111</v>
      </c>
      <c r="I35" s="67">
        <f>SUMIF($I$11:$I$22,H35,$K$11:$K$22)</f>
        <v>0</v>
      </c>
    </row>
    <row r="36" spans="2:9" ht="15.75" thickBot="1" x14ac:dyDescent="0.3">
      <c r="B36" s="73">
        <f>SUM(D35:D39)</f>
        <v>1.6</v>
      </c>
      <c r="C36" s="68" t="s">
        <v>80</v>
      </c>
      <c r="D36" s="69">
        <f t="shared" ref="D36:D88" si="0">SUMIF($D$11:$D$32,C36,$F$11:$F$32)</f>
        <v>0</v>
      </c>
      <c r="H36" s="79" t="s">
        <v>112</v>
      </c>
      <c r="I36" s="69">
        <f t="shared" ref="I36:I45" si="1">SUMIF($I$11:$I$22,H36,$K$11:$K$22)</f>
        <v>6.8</v>
      </c>
    </row>
    <row r="37" spans="2:9" x14ac:dyDescent="0.25">
      <c r="C37" s="68" t="s">
        <v>81</v>
      </c>
      <c r="D37" s="69">
        <f t="shared" si="0"/>
        <v>0</v>
      </c>
      <c r="H37" s="79" t="s">
        <v>113</v>
      </c>
      <c r="I37" s="69">
        <f t="shared" si="1"/>
        <v>0</v>
      </c>
    </row>
    <row r="38" spans="2:9" x14ac:dyDescent="0.25">
      <c r="C38" s="68" t="s">
        <v>36</v>
      </c>
      <c r="D38" s="69">
        <f t="shared" si="0"/>
        <v>1.6</v>
      </c>
      <c r="H38" s="79" t="s">
        <v>114</v>
      </c>
      <c r="I38" s="69">
        <f t="shared" si="1"/>
        <v>0</v>
      </c>
    </row>
    <row r="39" spans="2:9" ht="15.75" thickBot="1" x14ac:dyDescent="0.3">
      <c r="C39" s="76"/>
      <c r="D39" s="71">
        <f t="shared" si="0"/>
        <v>0</v>
      </c>
      <c r="H39" s="79" t="s">
        <v>115</v>
      </c>
      <c r="I39" s="69">
        <f t="shared" si="1"/>
        <v>0</v>
      </c>
    </row>
    <row r="40" spans="2:9" ht="15.75" thickBot="1" x14ac:dyDescent="0.3">
      <c r="C40" s="54"/>
      <c r="D40" s="63"/>
      <c r="H40" s="79" t="s">
        <v>116</v>
      </c>
      <c r="I40" s="69">
        <f t="shared" si="1"/>
        <v>0</v>
      </c>
    </row>
    <row r="41" spans="2:9" x14ac:dyDescent="0.25">
      <c r="B41" s="72" t="s">
        <v>21</v>
      </c>
      <c r="C41" s="66" t="s">
        <v>85</v>
      </c>
      <c r="D41" s="67">
        <f t="shared" si="0"/>
        <v>0</v>
      </c>
      <c r="H41" s="79" t="s">
        <v>117</v>
      </c>
      <c r="I41" s="69">
        <f t="shared" si="1"/>
        <v>0</v>
      </c>
    </row>
    <row r="42" spans="2:9" ht="15.75" thickBot="1" x14ac:dyDescent="0.3">
      <c r="B42" s="73">
        <f>SUBTOTAL(9,D41:D48)</f>
        <v>10</v>
      </c>
      <c r="C42" s="68" t="s">
        <v>22</v>
      </c>
      <c r="D42" s="69">
        <f t="shared" si="0"/>
        <v>0</v>
      </c>
      <c r="H42" s="79" t="s">
        <v>118</v>
      </c>
      <c r="I42" s="69">
        <f t="shared" si="1"/>
        <v>277</v>
      </c>
    </row>
    <row r="43" spans="2:9" x14ac:dyDescent="0.25">
      <c r="C43" s="68" t="s">
        <v>40</v>
      </c>
      <c r="D43" s="69">
        <f t="shared" si="0"/>
        <v>0</v>
      </c>
      <c r="H43" s="79" t="s">
        <v>84</v>
      </c>
      <c r="I43" s="69">
        <f t="shared" si="1"/>
        <v>0</v>
      </c>
    </row>
    <row r="44" spans="2:9" x14ac:dyDescent="0.25">
      <c r="C44" s="68" t="s">
        <v>87</v>
      </c>
      <c r="D44" s="69">
        <f t="shared" si="0"/>
        <v>0</v>
      </c>
      <c r="H44" s="79" t="s">
        <v>119</v>
      </c>
      <c r="I44" s="69">
        <f t="shared" si="1"/>
        <v>0</v>
      </c>
    </row>
    <row r="45" spans="2:9" ht="15.75" thickBot="1" x14ac:dyDescent="0.3">
      <c r="C45" s="68" t="s">
        <v>86</v>
      </c>
      <c r="D45" s="69">
        <f t="shared" si="0"/>
        <v>0</v>
      </c>
      <c r="H45" s="80"/>
      <c r="I45" s="71">
        <f t="shared" si="1"/>
        <v>0</v>
      </c>
    </row>
    <row r="46" spans="2:9" x14ac:dyDescent="0.25">
      <c r="C46" s="68" t="s">
        <v>43</v>
      </c>
      <c r="D46" s="69">
        <f t="shared" si="0"/>
        <v>10</v>
      </c>
    </row>
    <row r="47" spans="2:9" x14ac:dyDescent="0.25">
      <c r="C47" s="74"/>
      <c r="D47" s="75">
        <f t="shared" si="0"/>
        <v>0</v>
      </c>
    </row>
    <row r="48" spans="2:9" ht="15.75" thickBot="1" x14ac:dyDescent="0.3">
      <c r="C48" s="76"/>
      <c r="D48" s="71">
        <f t="shared" si="0"/>
        <v>0</v>
      </c>
    </row>
    <row r="49" spans="2:4" ht="15.75" thickBot="1" x14ac:dyDescent="0.3">
      <c r="D49" s="63"/>
    </row>
    <row r="50" spans="2:4" x14ac:dyDescent="0.25">
      <c r="B50" s="72" t="s">
        <v>27</v>
      </c>
      <c r="C50" s="66" t="s">
        <v>28</v>
      </c>
      <c r="D50" s="67">
        <f t="shared" si="0"/>
        <v>75</v>
      </c>
    </row>
    <row r="51" spans="2:4" ht="15.75" thickBot="1" x14ac:dyDescent="0.3">
      <c r="B51" s="73">
        <f>SUM(D50:D56)</f>
        <v>160.29000000000002</v>
      </c>
      <c r="C51" s="68" t="s">
        <v>88</v>
      </c>
      <c r="D51" s="69">
        <f t="shared" si="0"/>
        <v>0</v>
      </c>
    </row>
    <row r="52" spans="2:4" x14ac:dyDescent="0.25">
      <c r="C52" s="68" t="s">
        <v>89</v>
      </c>
      <c r="D52" s="69">
        <f t="shared" si="0"/>
        <v>0</v>
      </c>
    </row>
    <row r="53" spans="2:4" x14ac:dyDescent="0.25">
      <c r="C53" s="68" t="s">
        <v>51</v>
      </c>
      <c r="D53" s="69">
        <f t="shared" si="0"/>
        <v>85.29</v>
      </c>
    </row>
    <row r="54" spans="2:4" x14ac:dyDescent="0.25">
      <c r="C54" s="68" t="s">
        <v>90</v>
      </c>
      <c r="D54" s="69">
        <f t="shared" si="0"/>
        <v>0</v>
      </c>
    </row>
    <row r="55" spans="2:4" x14ac:dyDescent="0.25">
      <c r="C55" s="68" t="s">
        <v>58</v>
      </c>
      <c r="D55" s="69">
        <f t="shared" si="0"/>
        <v>0</v>
      </c>
    </row>
    <row r="56" spans="2:4" ht="15.75" thickBot="1" x14ac:dyDescent="0.3">
      <c r="C56" s="70"/>
      <c r="D56" s="71">
        <f t="shared" si="0"/>
        <v>0</v>
      </c>
    </row>
    <row r="57" spans="2:4" ht="15.75" thickBot="1" x14ac:dyDescent="0.3">
      <c r="D57" s="63"/>
    </row>
    <row r="58" spans="2:4" x14ac:dyDescent="0.25">
      <c r="B58" s="72" t="s">
        <v>24</v>
      </c>
      <c r="C58" s="66" t="s">
        <v>121</v>
      </c>
      <c r="D58" s="67">
        <f t="shared" si="0"/>
        <v>0</v>
      </c>
    </row>
    <row r="59" spans="2:4" ht="15.75" thickBot="1" x14ac:dyDescent="0.3">
      <c r="B59" s="73">
        <f>SUM(D58:D64)</f>
        <v>5.5</v>
      </c>
      <c r="C59" s="68" t="s">
        <v>32</v>
      </c>
      <c r="D59" s="69">
        <f t="shared" si="0"/>
        <v>5.5</v>
      </c>
    </row>
    <row r="60" spans="2:4" x14ac:dyDescent="0.25">
      <c r="C60" s="68" t="s">
        <v>91</v>
      </c>
      <c r="D60" s="69">
        <f t="shared" si="0"/>
        <v>0</v>
      </c>
    </row>
    <row r="61" spans="2:4" x14ac:dyDescent="0.25">
      <c r="C61" s="68" t="s">
        <v>92</v>
      </c>
      <c r="D61" s="69">
        <f t="shared" si="0"/>
        <v>0</v>
      </c>
    </row>
    <row r="62" spans="2:4" x14ac:dyDescent="0.25">
      <c r="C62" s="68" t="s">
        <v>93</v>
      </c>
      <c r="D62" s="69">
        <f t="shared" si="0"/>
        <v>0</v>
      </c>
    </row>
    <row r="63" spans="2:4" x14ac:dyDescent="0.25">
      <c r="C63" s="68" t="s">
        <v>25</v>
      </c>
      <c r="D63" s="69">
        <f t="shared" si="0"/>
        <v>0</v>
      </c>
    </row>
    <row r="64" spans="2:4" ht="15.75" thickBot="1" x14ac:dyDescent="0.3">
      <c r="C64" s="70"/>
      <c r="D64" s="71">
        <f t="shared" si="0"/>
        <v>0</v>
      </c>
    </row>
    <row r="65" spans="2:4" ht="15.75" thickBot="1" x14ac:dyDescent="0.3">
      <c r="D65" s="63"/>
    </row>
    <row r="66" spans="2:4" x14ac:dyDescent="0.25">
      <c r="B66" s="72" t="s">
        <v>83</v>
      </c>
      <c r="C66" s="66" t="s">
        <v>122</v>
      </c>
      <c r="D66" s="67">
        <f t="shared" si="0"/>
        <v>0</v>
      </c>
    </row>
    <row r="67" spans="2:4" ht="15.75" thickBot="1" x14ac:dyDescent="0.3">
      <c r="B67" s="73">
        <f>SUM(D66:D72)</f>
        <v>0</v>
      </c>
      <c r="C67" s="68" t="s">
        <v>95</v>
      </c>
      <c r="D67" s="69">
        <f t="shared" si="0"/>
        <v>0</v>
      </c>
    </row>
    <row r="68" spans="2:4" x14ac:dyDescent="0.25">
      <c r="C68" s="68" t="s">
        <v>96</v>
      </c>
      <c r="D68" s="69">
        <f t="shared" si="0"/>
        <v>0</v>
      </c>
    </row>
    <row r="69" spans="2:4" x14ac:dyDescent="0.25">
      <c r="C69" s="68" t="s">
        <v>123</v>
      </c>
      <c r="D69" s="69">
        <f t="shared" si="0"/>
        <v>0</v>
      </c>
    </row>
    <row r="70" spans="2:4" x14ac:dyDescent="0.25">
      <c r="C70" s="68" t="s">
        <v>98</v>
      </c>
      <c r="D70" s="69">
        <f t="shared" si="0"/>
        <v>0</v>
      </c>
    </row>
    <row r="71" spans="2:4" x14ac:dyDescent="0.25">
      <c r="C71" s="68" t="s">
        <v>99</v>
      </c>
      <c r="D71" s="69">
        <f t="shared" si="0"/>
        <v>0</v>
      </c>
    </row>
    <row r="72" spans="2:4" ht="15.75" thickBot="1" x14ac:dyDescent="0.3">
      <c r="C72" s="70"/>
      <c r="D72" s="71">
        <f t="shared" si="0"/>
        <v>0</v>
      </c>
    </row>
    <row r="73" spans="2:4" ht="15.75" thickBot="1" x14ac:dyDescent="0.3">
      <c r="D73" s="63"/>
    </row>
    <row r="74" spans="2:4" x14ac:dyDescent="0.25">
      <c r="B74" s="72" t="s">
        <v>84</v>
      </c>
      <c r="C74" s="66" t="s">
        <v>100</v>
      </c>
      <c r="D74" s="67">
        <f t="shared" si="0"/>
        <v>0</v>
      </c>
    </row>
    <row r="75" spans="2:4" ht="15.75" thickBot="1" x14ac:dyDescent="0.3">
      <c r="B75" s="73">
        <f>SUM(D74:D80)</f>
        <v>0</v>
      </c>
      <c r="C75" s="68" t="s">
        <v>101</v>
      </c>
      <c r="D75" s="69">
        <f t="shared" si="0"/>
        <v>0</v>
      </c>
    </row>
    <row r="76" spans="2:4" x14ac:dyDescent="0.25">
      <c r="C76" s="68" t="s">
        <v>103</v>
      </c>
      <c r="D76" s="69">
        <f t="shared" si="0"/>
        <v>0</v>
      </c>
    </row>
    <row r="77" spans="2:4" x14ac:dyDescent="0.25">
      <c r="C77" s="68" t="s">
        <v>105</v>
      </c>
      <c r="D77" s="69">
        <f t="shared" si="0"/>
        <v>0</v>
      </c>
    </row>
    <row r="78" spans="2:4" x14ac:dyDescent="0.25">
      <c r="C78" s="68"/>
      <c r="D78" s="69">
        <f t="shared" si="0"/>
        <v>0</v>
      </c>
    </row>
    <row r="79" spans="2:4" x14ac:dyDescent="0.25">
      <c r="C79" s="68"/>
      <c r="D79" s="69">
        <f t="shared" si="0"/>
        <v>0</v>
      </c>
    </row>
    <row r="80" spans="2:4" ht="15.75" thickBot="1" x14ac:dyDescent="0.3">
      <c r="C80" s="70"/>
      <c r="D80" s="71">
        <f t="shared" si="0"/>
        <v>0</v>
      </c>
    </row>
    <row r="81" spans="2:4" ht="15.75" thickBot="1" x14ac:dyDescent="0.3">
      <c r="D81" s="63"/>
    </row>
    <row r="82" spans="2:4" x14ac:dyDescent="0.25">
      <c r="B82" s="72" t="s">
        <v>45</v>
      </c>
      <c r="C82" s="66" t="s">
        <v>106</v>
      </c>
      <c r="D82" s="67">
        <f t="shared" si="0"/>
        <v>0</v>
      </c>
    </row>
    <row r="83" spans="2:4" ht="15.75" thickBot="1" x14ac:dyDescent="0.3">
      <c r="B83" s="73">
        <f>SUM(D82:D88)</f>
        <v>0</v>
      </c>
      <c r="C83" s="68" t="s">
        <v>107</v>
      </c>
      <c r="D83" s="69">
        <f>SUMIF($D$11:$D$32,C83,$F$11:$F$32)</f>
        <v>0</v>
      </c>
    </row>
    <row r="84" spans="2:4" x14ac:dyDescent="0.25">
      <c r="C84" s="68" t="s">
        <v>108</v>
      </c>
      <c r="D84" s="69">
        <f t="shared" si="0"/>
        <v>0</v>
      </c>
    </row>
    <row r="85" spans="2:4" x14ac:dyDescent="0.25">
      <c r="C85" s="68" t="s">
        <v>109</v>
      </c>
      <c r="D85" s="69">
        <f t="shared" si="0"/>
        <v>0</v>
      </c>
    </row>
    <row r="86" spans="2:4" x14ac:dyDescent="0.25">
      <c r="C86" s="68" t="s">
        <v>110</v>
      </c>
      <c r="D86" s="69">
        <f t="shared" si="0"/>
        <v>0</v>
      </c>
    </row>
    <row r="87" spans="2:4" x14ac:dyDescent="0.25">
      <c r="C87" s="68" t="s">
        <v>46</v>
      </c>
      <c r="D87" s="69">
        <f t="shared" si="0"/>
        <v>0</v>
      </c>
    </row>
    <row r="88" spans="2:4" ht="15.75" thickBot="1" x14ac:dyDescent="0.3">
      <c r="C88" s="70"/>
      <c r="D88" s="71">
        <f t="shared" si="0"/>
        <v>0</v>
      </c>
    </row>
  </sheetData>
  <mergeCells count="3">
    <mergeCell ref="H2:K2"/>
    <mergeCell ref="B9:F9"/>
    <mergeCell ref="H9:K9"/>
  </mergeCells>
  <dataValidations count="1">
    <dataValidation type="list" allowBlank="1" showInputMessage="1" showErrorMessage="1" sqref="D11:D32">
      <formula1>INDIRECT(C11)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Modelo!$P$3:$P$10</xm:f>
          </x14:formula1>
          <xm:sqref>C11:C32</xm:sqref>
        </x14:dataValidation>
        <x14:dataValidation type="list" allowBlank="1" showInputMessage="1" showErrorMessage="1">
          <x14:formula1>
            <xm:f>Modelo!$R$3:$R$14</xm:f>
          </x14:formula1>
          <xm:sqref>I11:I22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1:P88"/>
  <sheetViews>
    <sheetView showGridLines="0" zoomScale="70" zoomScaleNormal="70" workbookViewId="0">
      <selection activeCell="F4" sqref="F4"/>
    </sheetView>
  </sheetViews>
  <sheetFormatPr defaultRowHeight="15" x14ac:dyDescent="0.25"/>
  <cols>
    <col min="1" max="1" width="3" customWidth="1"/>
    <col min="2" max="2" width="12.140625" bestFit="1" customWidth="1"/>
    <col min="3" max="3" width="41.5703125" bestFit="1" customWidth="1"/>
    <col min="4" max="4" width="33.5703125" bestFit="1" customWidth="1"/>
    <col min="5" max="5" width="9.28515625" bestFit="1" customWidth="1"/>
    <col min="6" max="6" width="13.7109375" bestFit="1" customWidth="1"/>
    <col min="7" max="7" width="2.5703125" customWidth="1"/>
    <col min="8" max="8" width="19.5703125" bestFit="1" customWidth="1"/>
    <col min="9" max="9" width="15" customWidth="1"/>
    <col min="10" max="11" width="11.85546875" customWidth="1"/>
    <col min="13" max="16" width="12" customWidth="1"/>
  </cols>
  <sheetData>
    <row r="1" spans="2:16" ht="15.75" thickBot="1" x14ac:dyDescent="0.3"/>
    <row r="2" spans="2:16" ht="15.75" thickBot="1" x14ac:dyDescent="0.3">
      <c r="B2" s="11" t="s">
        <v>57</v>
      </c>
      <c r="C2" s="32" t="s">
        <v>1</v>
      </c>
      <c r="D2" s="31" t="s">
        <v>2</v>
      </c>
      <c r="F2" s="5" t="s">
        <v>3</v>
      </c>
      <c r="H2" s="128"/>
      <c r="I2" s="128"/>
      <c r="J2" s="128"/>
      <c r="K2" s="128"/>
    </row>
    <row r="3" spans="2:16" ht="15.75" thickBot="1" x14ac:dyDescent="0.3">
      <c r="B3" s="10" t="s">
        <v>4</v>
      </c>
      <c r="C3" s="29"/>
      <c r="D3" s="30"/>
      <c r="F3" s="38">
        <f>SUM(D3,D5,D6,D7,D4)</f>
        <v>336.7</v>
      </c>
      <c r="I3" s="11" t="s">
        <v>5</v>
      </c>
    </row>
    <row r="4" spans="2:16" ht="15.75" thickBot="1" x14ac:dyDescent="0.3">
      <c r="B4" s="6" t="s">
        <v>128</v>
      </c>
      <c r="C4" s="7"/>
      <c r="D4" s="26">
        <f>SUM(P10:P25)</f>
        <v>0</v>
      </c>
      <c r="F4" s="37">
        <f>SUM(F11:F32)</f>
        <v>63.8</v>
      </c>
      <c r="I4" s="15">
        <f ca="1">TODAY()</f>
        <v>46002</v>
      </c>
    </row>
    <row r="5" spans="2:16" ht="15.75" thickBot="1" x14ac:dyDescent="0.3">
      <c r="B5" s="24" t="s">
        <v>6</v>
      </c>
      <c r="C5" s="25"/>
      <c r="D5" s="27"/>
      <c r="F5" s="98">
        <f>D4</f>
        <v>0</v>
      </c>
      <c r="I5" s="17" t="s">
        <v>7</v>
      </c>
    </row>
    <row r="6" spans="2:16" ht="15.75" thickBot="1" x14ac:dyDescent="0.3">
      <c r="B6" s="24" t="s">
        <v>132</v>
      </c>
      <c r="C6" s="25"/>
      <c r="D6" s="27"/>
      <c r="F6" s="36">
        <f>SUM(K11:K22)</f>
        <v>0</v>
      </c>
      <c r="I6" s="14">
        <v>45847</v>
      </c>
    </row>
    <row r="7" spans="2:16" ht="15.75" thickBot="1" x14ac:dyDescent="0.3">
      <c r="B7" s="8" t="s">
        <v>15</v>
      </c>
      <c r="C7" s="9"/>
      <c r="D7" s="28">
        <f>Set!F7</f>
        <v>336.7</v>
      </c>
      <c r="F7" s="39">
        <f>F3-F4-F6</f>
        <v>272.89999999999998</v>
      </c>
    </row>
    <row r="8" spans="2:16" ht="15.75" thickBot="1" x14ac:dyDescent="0.3"/>
    <row r="9" spans="2:16" ht="15.75" thickBot="1" x14ac:dyDescent="0.3">
      <c r="B9" s="124" t="s">
        <v>8</v>
      </c>
      <c r="C9" s="125"/>
      <c r="D9" s="125"/>
      <c r="E9" s="125"/>
      <c r="F9" s="126"/>
      <c r="H9" s="127" t="s">
        <v>9</v>
      </c>
      <c r="I9" s="127"/>
      <c r="J9" s="127"/>
      <c r="K9" s="127"/>
      <c r="M9" s="91" t="s">
        <v>129</v>
      </c>
      <c r="N9" s="92" t="s">
        <v>130</v>
      </c>
      <c r="O9" s="93" t="s">
        <v>131</v>
      </c>
      <c r="P9" s="94" t="s">
        <v>74</v>
      </c>
    </row>
    <row r="10" spans="2:16" ht="15.75" thickBot="1" x14ac:dyDescent="0.3">
      <c r="B10" s="5" t="s">
        <v>5</v>
      </c>
      <c r="C10" s="5" t="s">
        <v>10</v>
      </c>
      <c r="D10" s="5" t="s">
        <v>11</v>
      </c>
      <c r="E10" s="5" t="s">
        <v>12</v>
      </c>
      <c r="F10" s="5" t="s">
        <v>2</v>
      </c>
      <c r="H10" s="5" t="s">
        <v>5</v>
      </c>
      <c r="I10" s="5" t="s">
        <v>13</v>
      </c>
      <c r="J10" s="5" t="s">
        <v>11</v>
      </c>
      <c r="K10" s="5" t="s">
        <v>2</v>
      </c>
      <c r="M10" s="89"/>
      <c r="N10" s="95"/>
      <c r="O10" s="90"/>
      <c r="P10" s="60"/>
    </row>
    <row r="11" spans="2:16" x14ac:dyDescent="0.25">
      <c r="B11" s="21">
        <v>30</v>
      </c>
      <c r="C11" s="16" t="s">
        <v>27</v>
      </c>
      <c r="D11" s="16" t="s">
        <v>58</v>
      </c>
      <c r="E11" s="16" t="s">
        <v>59</v>
      </c>
      <c r="F11" s="33">
        <v>63.8</v>
      </c>
      <c r="H11" s="18"/>
      <c r="I11" s="13"/>
      <c r="J11" s="13"/>
      <c r="K11" s="60"/>
      <c r="M11" s="77"/>
      <c r="N11" s="96"/>
      <c r="O11" s="87"/>
      <c r="P11" s="61"/>
    </row>
    <row r="12" spans="2:16" x14ac:dyDescent="0.25">
      <c r="B12" s="22"/>
      <c r="C12" s="7"/>
      <c r="D12" s="7"/>
      <c r="E12" s="7"/>
      <c r="F12" s="34"/>
      <c r="H12" s="19"/>
      <c r="I12" s="13"/>
      <c r="J12" s="1"/>
      <c r="K12" s="61"/>
      <c r="M12" s="77"/>
      <c r="N12" s="96"/>
      <c r="O12" s="87"/>
      <c r="P12" s="61"/>
    </row>
    <row r="13" spans="2:16" x14ac:dyDescent="0.25">
      <c r="B13" s="22"/>
      <c r="C13" s="7"/>
      <c r="D13" s="7"/>
      <c r="E13" s="7"/>
      <c r="F13" s="34"/>
      <c r="H13" s="19"/>
      <c r="I13" s="13"/>
      <c r="J13" s="1"/>
      <c r="K13" s="61"/>
      <c r="M13" s="77"/>
      <c r="N13" s="96"/>
      <c r="O13" s="87"/>
      <c r="P13" s="61"/>
    </row>
    <row r="14" spans="2:16" x14ac:dyDescent="0.25">
      <c r="B14" s="22"/>
      <c r="C14" s="7"/>
      <c r="D14" s="7"/>
      <c r="E14" s="7"/>
      <c r="F14" s="34"/>
      <c r="H14" s="19"/>
      <c r="I14" s="13"/>
      <c r="J14" s="1"/>
      <c r="K14" s="61"/>
      <c r="M14" s="77"/>
      <c r="N14" s="96"/>
      <c r="O14" s="87"/>
      <c r="P14" s="61"/>
    </row>
    <row r="15" spans="2:16" x14ac:dyDescent="0.25">
      <c r="B15" s="22"/>
      <c r="C15" s="7"/>
      <c r="D15" s="7"/>
      <c r="E15" s="7"/>
      <c r="F15" s="34"/>
      <c r="H15" s="19"/>
      <c r="I15" s="13"/>
      <c r="J15" s="1"/>
      <c r="K15" s="61"/>
      <c r="M15" s="77"/>
      <c r="N15" s="96"/>
      <c r="O15" s="87"/>
      <c r="P15" s="61"/>
    </row>
    <row r="16" spans="2:16" x14ac:dyDescent="0.25">
      <c r="B16" s="22"/>
      <c r="C16" s="7"/>
      <c r="D16" s="7"/>
      <c r="E16" s="7"/>
      <c r="F16" s="34"/>
      <c r="H16" s="19"/>
      <c r="I16" s="13"/>
      <c r="J16" s="1"/>
      <c r="K16" s="61"/>
      <c r="M16" s="77"/>
      <c r="N16" s="96"/>
      <c r="O16" s="87"/>
      <c r="P16" s="61"/>
    </row>
    <row r="17" spans="2:16" x14ac:dyDescent="0.25">
      <c r="B17" s="22"/>
      <c r="C17" s="7"/>
      <c r="D17" s="7"/>
      <c r="E17" s="7"/>
      <c r="F17" s="34"/>
      <c r="H17" s="19"/>
      <c r="I17" s="13"/>
      <c r="J17" s="1"/>
      <c r="K17" s="61"/>
      <c r="M17" s="77"/>
      <c r="N17" s="96"/>
      <c r="O17" s="87"/>
      <c r="P17" s="61"/>
    </row>
    <row r="18" spans="2:16" x14ac:dyDescent="0.25">
      <c r="B18" s="22"/>
      <c r="C18" s="7"/>
      <c r="D18" s="7"/>
      <c r="E18" s="7"/>
      <c r="F18" s="34"/>
      <c r="H18" s="19"/>
      <c r="I18" s="13"/>
      <c r="J18" s="1"/>
      <c r="K18" s="61"/>
      <c r="M18" s="77"/>
      <c r="N18" s="96"/>
      <c r="O18" s="87"/>
      <c r="P18" s="61"/>
    </row>
    <row r="19" spans="2:16" x14ac:dyDescent="0.25">
      <c r="B19" s="22"/>
      <c r="C19" s="7"/>
      <c r="D19" s="7"/>
      <c r="E19" s="7"/>
      <c r="F19" s="34"/>
      <c r="H19" s="19"/>
      <c r="I19" s="13"/>
      <c r="J19" s="1"/>
      <c r="K19" s="61"/>
      <c r="M19" s="77"/>
      <c r="N19" s="96"/>
      <c r="O19" s="87"/>
      <c r="P19" s="61"/>
    </row>
    <row r="20" spans="2:16" x14ac:dyDescent="0.25">
      <c r="B20" s="22"/>
      <c r="C20" s="7"/>
      <c r="D20" s="7"/>
      <c r="E20" s="7"/>
      <c r="F20" s="34"/>
      <c r="H20" s="19"/>
      <c r="I20" s="13"/>
      <c r="J20" s="1"/>
      <c r="K20" s="61"/>
      <c r="M20" s="77"/>
      <c r="N20" s="96"/>
      <c r="O20" s="87"/>
      <c r="P20" s="61"/>
    </row>
    <row r="21" spans="2:16" x14ac:dyDescent="0.25">
      <c r="B21" s="22"/>
      <c r="C21" s="7"/>
      <c r="D21" s="7"/>
      <c r="E21" s="7"/>
      <c r="F21" s="34"/>
      <c r="H21" s="19"/>
      <c r="I21" s="13"/>
      <c r="J21" s="1"/>
      <c r="K21" s="61"/>
      <c r="M21" s="77"/>
      <c r="N21" s="96"/>
      <c r="O21" s="87"/>
      <c r="P21" s="61"/>
    </row>
    <row r="22" spans="2:16" ht="15.75" thickBot="1" x14ac:dyDescent="0.3">
      <c r="B22" s="22"/>
      <c r="C22" s="7"/>
      <c r="D22" s="7"/>
      <c r="E22" s="7"/>
      <c r="F22" s="34"/>
      <c r="H22" s="20"/>
      <c r="I22" s="3"/>
      <c r="J22" s="3"/>
      <c r="K22" s="62"/>
      <c r="M22" s="77"/>
      <c r="N22" s="96"/>
      <c r="O22" s="87"/>
      <c r="P22" s="61"/>
    </row>
    <row r="23" spans="2:16" x14ac:dyDescent="0.25">
      <c r="B23" s="22"/>
      <c r="C23" s="7"/>
      <c r="D23" s="7"/>
      <c r="E23" s="7"/>
      <c r="F23" s="34"/>
      <c r="M23" s="77"/>
      <c r="N23" s="96"/>
      <c r="O23" s="87"/>
      <c r="P23" s="61"/>
    </row>
    <row r="24" spans="2:16" x14ac:dyDescent="0.25">
      <c r="B24" s="22"/>
      <c r="C24" s="7"/>
      <c r="D24" s="7"/>
      <c r="E24" s="7"/>
      <c r="F24" s="34"/>
      <c r="M24" s="77"/>
      <c r="N24" s="96"/>
      <c r="O24" s="87"/>
      <c r="P24" s="61"/>
    </row>
    <row r="25" spans="2:16" ht="15.75" thickBot="1" x14ac:dyDescent="0.3">
      <c r="B25" s="22"/>
      <c r="C25" s="7"/>
      <c r="D25" s="7"/>
      <c r="E25" s="7"/>
      <c r="F25" s="34"/>
      <c r="M25" s="70"/>
      <c r="N25" s="97"/>
      <c r="O25" s="88"/>
      <c r="P25" s="62"/>
    </row>
    <row r="26" spans="2:16" x14ac:dyDescent="0.25">
      <c r="B26" s="22"/>
      <c r="C26" s="7"/>
      <c r="D26" s="7"/>
      <c r="E26" s="7"/>
      <c r="F26" s="34"/>
    </row>
    <row r="27" spans="2:16" x14ac:dyDescent="0.25">
      <c r="B27" s="22"/>
      <c r="C27" s="7"/>
      <c r="D27" s="7"/>
      <c r="E27" s="7"/>
      <c r="F27" s="34"/>
    </row>
    <row r="28" spans="2:16" x14ac:dyDescent="0.25">
      <c r="B28" s="22"/>
      <c r="C28" s="7"/>
      <c r="D28" s="7"/>
      <c r="E28" s="7"/>
      <c r="F28" s="34"/>
    </row>
    <row r="29" spans="2:16" x14ac:dyDescent="0.25">
      <c r="B29" s="22"/>
      <c r="C29" s="7"/>
      <c r="D29" s="7"/>
      <c r="E29" s="7"/>
      <c r="F29" s="34"/>
    </row>
    <row r="30" spans="2:16" x14ac:dyDescent="0.25">
      <c r="B30" s="22"/>
      <c r="C30" s="7"/>
      <c r="D30" s="7"/>
      <c r="E30" s="7"/>
      <c r="F30" s="34"/>
    </row>
    <row r="31" spans="2:16" x14ac:dyDescent="0.25">
      <c r="B31" s="22"/>
      <c r="C31" s="7"/>
      <c r="D31" s="7"/>
      <c r="E31" s="7"/>
      <c r="F31" s="34"/>
    </row>
    <row r="32" spans="2:16" ht="15.75" thickBot="1" x14ac:dyDescent="0.3">
      <c r="B32" s="23"/>
      <c r="C32" s="9"/>
      <c r="D32" s="9"/>
      <c r="E32" s="9"/>
      <c r="F32" s="35"/>
    </row>
    <row r="34" spans="2:9" ht="15.75" thickBot="1" x14ac:dyDescent="0.3"/>
    <row r="35" spans="2:9" x14ac:dyDescent="0.25">
      <c r="B35" s="72" t="s">
        <v>35</v>
      </c>
      <c r="C35" s="66" t="s">
        <v>120</v>
      </c>
      <c r="D35" s="67">
        <f>SUMIF($D$11:$D$32,C35,$F$11:$F$32)</f>
        <v>0</v>
      </c>
      <c r="H35" s="78" t="s">
        <v>111</v>
      </c>
      <c r="I35" s="67">
        <f>SUMIF($I$11:$I$22,H35,$K$11:$K$22)</f>
        <v>0</v>
      </c>
    </row>
    <row r="36" spans="2:9" ht="15.75" thickBot="1" x14ac:dyDescent="0.3">
      <c r="B36" s="73">
        <f>SUM(D35:D39)</f>
        <v>0</v>
      </c>
      <c r="C36" s="68" t="s">
        <v>80</v>
      </c>
      <c r="D36" s="69">
        <f t="shared" ref="D36:D88" si="0">SUMIF($D$11:$D$32,C36,$F$11:$F$32)</f>
        <v>0</v>
      </c>
      <c r="H36" s="79" t="s">
        <v>112</v>
      </c>
      <c r="I36" s="69">
        <f t="shared" ref="I36:I45" si="1">SUMIF($I$11:$I$22,H36,$K$11:$K$22)</f>
        <v>0</v>
      </c>
    </row>
    <row r="37" spans="2:9" x14ac:dyDescent="0.25">
      <c r="C37" s="68" t="s">
        <v>81</v>
      </c>
      <c r="D37" s="69">
        <f t="shared" si="0"/>
        <v>0</v>
      </c>
      <c r="H37" s="79" t="s">
        <v>113</v>
      </c>
      <c r="I37" s="69">
        <f t="shared" si="1"/>
        <v>0</v>
      </c>
    </row>
    <row r="38" spans="2:9" x14ac:dyDescent="0.25">
      <c r="C38" s="68" t="s">
        <v>36</v>
      </c>
      <c r="D38" s="69">
        <f t="shared" si="0"/>
        <v>0</v>
      </c>
      <c r="H38" s="79" t="s">
        <v>114</v>
      </c>
      <c r="I38" s="69">
        <f t="shared" si="1"/>
        <v>0</v>
      </c>
    </row>
    <row r="39" spans="2:9" ht="15.75" thickBot="1" x14ac:dyDescent="0.3">
      <c r="C39" s="76"/>
      <c r="D39" s="71">
        <f t="shared" si="0"/>
        <v>0</v>
      </c>
      <c r="H39" s="79" t="s">
        <v>115</v>
      </c>
      <c r="I39" s="69">
        <f t="shared" si="1"/>
        <v>0</v>
      </c>
    </row>
    <row r="40" spans="2:9" ht="15.75" thickBot="1" x14ac:dyDescent="0.3">
      <c r="C40" s="54"/>
      <c r="D40" s="63"/>
      <c r="H40" s="79" t="s">
        <v>116</v>
      </c>
      <c r="I40" s="69">
        <f t="shared" si="1"/>
        <v>0</v>
      </c>
    </row>
    <row r="41" spans="2:9" x14ac:dyDescent="0.25">
      <c r="B41" s="72" t="s">
        <v>21</v>
      </c>
      <c r="C41" s="66" t="s">
        <v>85</v>
      </c>
      <c r="D41" s="67">
        <f t="shared" si="0"/>
        <v>0</v>
      </c>
      <c r="H41" s="79" t="s">
        <v>117</v>
      </c>
      <c r="I41" s="69">
        <f t="shared" si="1"/>
        <v>0</v>
      </c>
    </row>
    <row r="42" spans="2:9" ht="15.75" thickBot="1" x14ac:dyDescent="0.3">
      <c r="B42" s="73">
        <f>SUBTOTAL(9,D41:D48)</f>
        <v>0</v>
      </c>
      <c r="C42" s="68" t="s">
        <v>22</v>
      </c>
      <c r="D42" s="69">
        <f t="shared" si="0"/>
        <v>0</v>
      </c>
      <c r="H42" s="79" t="s">
        <v>118</v>
      </c>
      <c r="I42" s="69">
        <f t="shared" si="1"/>
        <v>0</v>
      </c>
    </row>
    <row r="43" spans="2:9" x14ac:dyDescent="0.25">
      <c r="C43" s="68" t="s">
        <v>40</v>
      </c>
      <c r="D43" s="69">
        <f t="shared" si="0"/>
        <v>0</v>
      </c>
      <c r="H43" s="79" t="s">
        <v>84</v>
      </c>
      <c r="I43" s="69">
        <f t="shared" si="1"/>
        <v>0</v>
      </c>
    </row>
    <row r="44" spans="2:9" x14ac:dyDescent="0.25">
      <c r="C44" s="68" t="s">
        <v>87</v>
      </c>
      <c r="D44" s="69">
        <f t="shared" si="0"/>
        <v>0</v>
      </c>
      <c r="H44" s="79" t="s">
        <v>119</v>
      </c>
      <c r="I44" s="69">
        <f t="shared" si="1"/>
        <v>0</v>
      </c>
    </row>
    <row r="45" spans="2:9" ht="15.75" thickBot="1" x14ac:dyDescent="0.3">
      <c r="C45" s="68" t="s">
        <v>86</v>
      </c>
      <c r="D45" s="69">
        <f t="shared" si="0"/>
        <v>0</v>
      </c>
      <c r="H45" s="80"/>
      <c r="I45" s="71">
        <f t="shared" si="1"/>
        <v>0</v>
      </c>
    </row>
    <row r="46" spans="2:9" x14ac:dyDescent="0.25">
      <c r="C46" s="68" t="s">
        <v>43</v>
      </c>
      <c r="D46" s="69">
        <f t="shared" si="0"/>
        <v>0</v>
      </c>
    </row>
    <row r="47" spans="2:9" x14ac:dyDescent="0.25">
      <c r="C47" s="74"/>
      <c r="D47" s="75">
        <f t="shared" si="0"/>
        <v>0</v>
      </c>
    </row>
    <row r="48" spans="2:9" ht="15.75" thickBot="1" x14ac:dyDescent="0.3">
      <c r="C48" s="76"/>
      <c r="D48" s="71">
        <f t="shared" si="0"/>
        <v>0</v>
      </c>
    </row>
    <row r="49" spans="2:4" ht="15.75" thickBot="1" x14ac:dyDescent="0.3">
      <c r="D49" s="63"/>
    </row>
    <row r="50" spans="2:4" x14ac:dyDescent="0.25">
      <c r="B50" s="72" t="s">
        <v>27</v>
      </c>
      <c r="C50" s="66" t="s">
        <v>28</v>
      </c>
      <c r="D50" s="67">
        <f t="shared" si="0"/>
        <v>0</v>
      </c>
    </row>
    <row r="51" spans="2:4" ht="15.75" thickBot="1" x14ac:dyDescent="0.3">
      <c r="B51" s="73">
        <f>SUM(D50:D56)</f>
        <v>63.8</v>
      </c>
      <c r="C51" s="68" t="s">
        <v>88</v>
      </c>
      <c r="D51" s="69">
        <f t="shared" si="0"/>
        <v>0</v>
      </c>
    </row>
    <row r="52" spans="2:4" x14ac:dyDescent="0.25">
      <c r="C52" s="68" t="s">
        <v>89</v>
      </c>
      <c r="D52" s="69">
        <f t="shared" si="0"/>
        <v>0</v>
      </c>
    </row>
    <row r="53" spans="2:4" x14ac:dyDescent="0.25">
      <c r="C53" s="68" t="s">
        <v>51</v>
      </c>
      <c r="D53" s="69">
        <f t="shared" si="0"/>
        <v>0</v>
      </c>
    </row>
    <row r="54" spans="2:4" x14ac:dyDescent="0.25">
      <c r="C54" s="68" t="s">
        <v>90</v>
      </c>
      <c r="D54" s="69">
        <f t="shared" si="0"/>
        <v>0</v>
      </c>
    </row>
    <row r="55" spans="2:4" x14ac:dyDescent="0.25">
      <c r="C55" s="68" t="s">
        <v>58</v>
      </c>
      <c r="D55" s="69">
        <f t="shared" si="0"/>
        <v>63.8</v>
      </c>
    </row>
    <row r="56" spans="2:4" ht="15.75" thickBot="1" x14ac:dyDescent="0.3">
      <c r="C56" s="70"/>
      <c r="D56" s="71">
        <f t="shared" si="0"/>
        <v>0</v>
      </c>
    </row>
    <row r="57" spans="2:4" ht="15.75" thickBot="1" x14ac:dyDescent="0.3">
      <c r="D57" s="63"/>
    </row>
    <row r="58" spans="2:4" x14ac:dyDescent="0.25">
      <c r="B58" s="72" t="s">
        <v>24</v>
      </c>
      <c r="C58" s="66" t="s">
        <v>121</v>
      </c>
      <c r="D58" s="67">
        <f t="shared" si="0"/>
        <v>0</v>
      </c>
    </row>
    <row r="59" spans="2:4" ht="15.75" thickBot="1" x14ac:dyDescent="0.3">
      <c r="B59" s="73">
        <f>SUM(D58:D64)</f>
        <v>0</v>
      </c>
      <c r="C59" s="68" t="s">
        <v>32</v>
      </c>
      <c r="D59" s="69">
        <f t="shared" si="0"/>
        <v>0</v>
      </c>
    </row>
    <row r="60" spans="2:4" x14ac:dyDescent="0.25">
      <c r="C60" s="68" t="s">
        <v>91</v>
      </c>
      <c r="D60" s="69">
        <f t="shared" si="0"/>
        <v>0</v>
      </c>
    </row>
    <row r="61" spans="2:4" x14ac:dyDescent="0.25">
      <c r="C61" s="68" t="s">
        <v>92</v>
      </c>
      <c r="D61" s="69">
        <f t="shared" si="0"/>
        <v>0</v>
      </c>
    </row>
    <row r="62" spans="2:4" x14ac:dyDescent="0.25">
      <c r="C62" s="68" t="s">
        <v>93</v>
      </c>
      <c r="D62" s="69">
        <f t="shared" si="0"/>
        <v>0</v>
      </c>
    </row>
    <row r="63" spans="2:4" x14ac:dyDescent="0.25">
      <c r="C63" s="68" t="s">
        <v>25</v>
      </c>
      <c r="D63" s="69">
        <f t="shared" si="0"/>
        <v>0</v>
      </c>
    </row>
    <row r="64" spans="2:4" ht="15.75" thickBot="1" x14ac:dyDescent="0.3">
      <c r="C64" s="70"/>
      <c r="D64" s="71">
        <f t="shared" si="0"/>
        <v>0</v>
      </c>
    </row>
    <row r="65" spans="2:4" ht="15.75" thickBot="1" x14ac:dyDescent="0.3">
      <c r="D65" s="63"/>
    </row>
    <row r="66" spans="2:4" x14ac:dyDescent="0.25">
      <c r="B66" s="72" t="s">
        <v>83</v>
      </c>
      <c r="C66" s="66" t="s">
        <v>122</v>
      </c>
      <c r="D66" s="67">
        <f t="shared" si="0"/>
        <v>0</v>
      </c>
    </row>
    <row r="67" spans="2:4" ht="15.75" thickBot="1" x14ac:dyDescent="0.3">
      <c r="B67" s="73">
        <f>SUM(D66:D72)</f>
        <v>0</v>
      </c>
      <c r="C67" s="68" t="s">
        <v>95</v>
      </c>
      <c r="D67" s="69">
        <f t="shared" si="0"/>
        <v>0</v>
      </c>
    </row>
    <row r="68" spans="2:4" x14ac:dyDescent="0.25">
      <c r="C68" s="68" t="s">
        <v>96</v>
      </c>
      <c r="D68" s="69">
        <f t="shared" si="0"/>
        <v>0</v>
      </c>
    </row>
    <row r="69" spans="2:4" x14ac:dyDescent="0.25">
      <c r="C69" s="68" t="s">
        <v>123</v>
      </c>
      <c r="D69" s="69">
        <f t="shared" si="0"/>
        <v>0</v>
      </c>
    </row>
    <row r="70" spans="2:4" x14ac:dyDescent="0.25">
      <c r="C70" s="68" t="s">
        <v>98</v>
      </c>
      <c r="D70" s="69">
        <f t="shared" si="0"/>
        <v>0</v>
      </c>
    </row>
    <row r="71" spans="2:4" x14ac:dyDescent="0.25">
      <c r="C71" s="68" t="s">
        <v>99</v>
      </c>
      <c r="D71" s="69">
        <f t="shared" si="0"/>
        <v>0</v>
      </c>
    </row>
    <row r="72" spans="2:4" ht="15.75" thickBot="1" x14ac:dyDescent="0.3">
      <c r="C72" s="70"/>
      <c r="D72" s="71">
        <f t="shared" si="0"/>
        <v>0</v>
      </c>
    </row>
    <row r="73" spans="2:4" ht="15.75" thickBot="1" x14ac:dyDescent="0.3">
      <c r="D73" s="63"/>
    </row>
    <row r="74" spans="2:4" x14ac:dyDescent="0.25">
      <c r="B74" s="72" t="s">
        <v>84</v>
      </c>
      <c r="C74" s="66" t="s">
        <v>100</v>
      </c>
      <c r="D74" s="67">
        <f t="shared" si="0"/>
        <v>0</v>
      </c>
    </row>
    <row r="75" spans="2:4" ht="15.75" thickBot="1" x14ac:dyDescent="0.3">
      <c r="B75" s="73">
        <f>SUM(D74:D80)</f>
        <v>0</v>
      </c>
      <c r="C75" s="68" t="s">
        <v>101</v>
      </c>
      <c r="D75" s="69">
        <f t="shared" si="0"/>
        <v>0</v>
      </c>
    </row>
    <row r="76" spans="2:4" x14ac:dyDescent="0.25">
      <c r="C76" s="68" t="s">
        <v>103</v>
      </c>
      <c r="D76" s="69">
        <f t="shared" si="0"/>
        <v>0</v>
      </c>
    </row>
    <row r="77" spans="2:4" x14ac:dyDescent="0.25">
      <c r="C77" s="68" t="s">
        <v>105</v>
      </c>
      <c r="D77" s="69">
        <f t="shared" si="0"/>
        <v>0</v>
      </c>
    </row>
    <row r="78" spans="2:4" x14ac:dyDescent="0.25">
      <c r="C78" s="68"/>
      <c r="D78" s="69">
        <f t="shared" si="0"/>
        <v>0</v>
      </c>
    </row>
    <row r="79" spans="2:4" x14ac:dyDescent="0.25">
      <c r="C79" s="68"/>
      <c r="D79" s="69">
        <f t="shared" si="0"/>
        <v>0</v>
      </c>
    </row>
    <row r="80" spans="2:4" ht="15.75" thickBot="1" x14ac:dyDescent="0.3">
      <c r="C80" s="70"/>
      <c r="D80" s="71">
        <f t="shared" si="0"/>
        <v>0</v>
      </c>
    </row>
    <row r="81" spans="2:4" ht="15.75" thickBot="1" x14ac:dyDescent="0.3">
      <c r="D81" s="63"/>
    </row>
    <row r="82" spans="2:4" x14ac:dyDescent="0.25">
      <c r="B82" s="72" t="s">
        <v>45</v>
      </c>
      <c r="C82" s="66" t="s">
        <v>106</v>
      </c>
      <c r="D82" s="67">
        <f t="shared" si="0"/>
        <v>0</v>
      </c>
    </row>
    <row r="83" spans="2:4" ht="15.75" thickBot="1" x14ac:dyDescent="0.3">
      <c r="B83" s="73">
        <f>SUM(D82:D88)</f>
        <v>0</v>
      </c>
      <c r="C83" s="68" t="s">
        <v>107</v>
      </c>
      <c r="D83" s="69">
        <f>SUMIF($D$11:$D$32,C83,$F$11:$F$32)</f>
        <v>0</v>
      </c>
    </row>
    <row r="84" spans="2:4" x14ac:dyDescent="0.25">
      <c r="C84" s="68" t="s">
        <v>108</v>
      </c>
      <c r="D84" s="69">
        <f t="shared" si="0"/>
        <v>0</v>
      </c>
    </row>
    <row r="85" spans="2:4" x14ac:dyDescent="0.25">
      <c r="C85" s="68" t="s">
        <v>109</v>
      </c>
      <c r="D85" s="69">
        <f t="shared" si="0"/>
        <v>0</v>
      </c>
    </row>
    <row r="86" spans="2:4" x14ac:dyDescent="0.25">
      <c r="C86" s="68" t="s">
        <v>110</v>
      </c>
      <c r="D86" s="69">
        <f t="shared" si="0"/>
        <v>0</v>
      </c>
    </row>
    <row r="87" spans="2:4" x14ac:dyDescent="0.25">
      <c r="C87" s="68" t="s">
        <v>46</v>
      </c>
      <c r="D87" s="69">
        <f t="shared" si="0"/>
        <v>0</v>
      </c>
    </row>
    <row r="88" spans="2:4" ht="15.75" thickBot="1" x14ac:dyDescent="0.3">
      <c r="C88" s="70"/>
      <c r="D88" s="71">
        <f t="shared" si="0"/>
        <v>0</v>
      </c>
    </row>
  </sheetData>
  <mergeCells count="3">
    <mergeCell ref="H2:K2"/>
    <mergeCell ref="B9:F9"/>
    <mergeCell ref="H9:K9"/>
  </mergeCells>
  <dataValidations count="1">
    <dataValidation type="list" allowBlank="1" showInputMessage="1" showErrorMessage="1" sqref="D11:D32">
      <formula1>INDIRECT(C11)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Modelo!$P$3:$P$10</xm:f>
          </x14:formula1>
          <xm:sqref>C11:C32</xm:sqref>
        </x14:dataValidation>
        <x14:dataValidation type="list" allowBlank="1" showInputMessage="1" showErrorMessage="1">
          <x14:formula1>
            <xm:f>Modelo!$R$3:$R$14</xm:f>
          </x14:formula1>
          <xm:sqref>I11:I21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1:P88"/>
  <sheetViews>
    <sheetView showGridLines="0" zoomScale="70" zoomScaleNormal="70" workbookViewId="0">
      <selection activeCell="F13" sqref="F13"/>
    </sheetView>
  </sheetViews>
  <sheetFormatPr defaultRowHeight="15" x14ac:dyDescent="0.25"/>
  <cols>
    <col min="1" max="1" width="3" customWidth="1"/>
    <col min="2" max="2" width="12.140625" bestFit="1" customWidth="1"/>
    <col min="3" max="3" width="41.5703125" bestFit="1" customWidth="1"/>
    <col min="4" max="4" width="12.42578125" bestFit="1" customWidth="1"/>
    <col min="5" max="5" width="9.28515625" bestFit="1" customWidth="1"/>
    <col min="6" max="6" width="13.7109375" bestFit="1" customWidth="1"/>
    <col min="7" max="7" width="2.5703125" customWidth="1"/>
    <col min="8" max="8" width="17.85546875" bestFit="1" customWidth="1"/>
    <col min="9" max="9" width="13.7109375" bestFit="1" customWidth="1"/>
    <col min="10" max="11" width="11.85546875" customWidth="1"/>
    <col min="13" max="16" width="12" customWidth="1"/>
  </cols>
  <sheetData>
    <row r="1" spans="2:16" ht="15.75" thickBot="1" x14ac:dyDescent="0.3"/>
    <row r="2" spans="2:16" ht="15.75" thickBot="1" x14ac:dyDescent="0.3">
      <c r="B2" s="11" t="s">
        <v>60</v>
      </c>
      <c r="C2" s="32" t="s">
        <v>1</v>
      </c>
      <c r="D2" s="31" t="s">
        <v>2</v>
      </c>
      <c r="F2" s="5" t="s">
        <v>3</v>
      </c>
      <c r="H2" s="128"/>
      <c r="I2" s="128"/>
      <c r="J2" s="128"/>
      <c r="K2" s="128"/>
    </row>
    <row r="3" spans="2:16" ht="15.75" thickBot="1" x14ac:dyDescent="0.3">
      <c r="B3" s="10" t="s">
        <v>4</v>
      </c>
      <c r="C3" s="29"/>
      <c r="D3" s="30"/>
      <c r="F3" s="38">
        <f>SUM(D3,D5,D6,D7,D4)</f>
        <v>272.89999999999998</v>
      </c>
      <c r="I3" s="11" t="s">
        <v>5</v>
      </c>
    </row>
    <row r="4" spans="2:16" ht="15.75" thickBot="1" x14ac:dyDescent="0.3">
      <c r="B4" s="6" t="s">
        <v>128</v>
      </c>
      <c r="C4" s="7"/>
      <c r="D4" s="26">
        <f>SUM(P10:P25)</f>
        <v>0</v>
      </c>
      <c r="F4" s="37">
        <f>SUM(F11:F32)</f>
        <v>322.89999999999998</v>
      </c>
      <c r="I4" s="15">
        <f ca="1">TODAY()</f>
        <v>46002</v>
      </c>
    </row>
    <row r="5" spans="2:16" ht="15.75" thickBot="1" x14ac:dyDescent="0.3">
      <c r="B5" s="24" t="s">
        <v>6</v>
      </c>
      <c r="C5" s="25"/>
      <c r="D5" s="27"/>
      <c r="F5" s="98">
        <f>D4</f>
        <v>0</v>
      </c>
      <c r="I5" s="17" t="s">
        <v>7</v>
      </c>
    </row>
    <row r="6" spans="2:16" ht="15.75" thickBot="1" x14ac:dyDescent="0.3">
      <c r="B6" s="24" t="s">
        <v>132</v>
      </c>
      <c r="C6" s="25"/>
      <c r="D6" s="27"/>
      <c r="F6" s="36">
        <f>SUM(K11:K22)</f>
        <v>0</v>
      </c>
      <c r="I6" s="14">
        <v>45847</v>
      </c>
    </row>
    <row r="7" spans="2:16" ht="15.75" thickBot="1" x14ac:dyDescent="0.3">
      <c r="B7" s="8" t="s">
        <v>15</v>
      </c>
      <c r="C7" s="9"/>
      <c r="D7" s="28">
        <f>Out!F7</f>
        <v>272.89999999999998</v>
      </c>
      <c r="F7" s="39">
        <f>F3-F4-F6</f>
        <v>-50</v>
      </c>
    </row>
    <row r="8" spans="2:16" ht="15.75" thickBot="1" x14ac:dyDescent="0.3"/>
    <row r="9" spans="2:16" ht="15.75" thickBot="1" x14ac:dyDescent="0.3">
      <c r="B9" s="124" t="s">
        <v>8</v>
      </c>
      <c r="C9" s="125"/>
      <c r="D9" s="125"/>
      <c r="E9" s="125"/>
      <c r="F9" s="126"/>
      <c r="H9" s="127" t="s">
        <v>9</v>
      </c>
      <c r="I9" s="127"/>
      <c r="J9" s="127"/>
      <c r="K9" s="127"/>
      <c r="M9" s="91" t="s">
        <v>129</v>
      </c>
      <c r="N9" s="92" t="s">
        <v>130</v>
      </c>
      <c r="O9" s="93" t="s">
        <v>131</v>
      </c>
      <c r="P9" s="94" t="s">
        <v>74</v>
      </c>
    </row>
    <row r="10" spans="2:16" ht="15.75" thickBot="1" x14ac:dyDescent="0.3">
      <c r="B10" s="5" t="s">
        <v>5</v>
      </c>
      <c r="C10" s="5" t="s">
        <v>10</v>
      </c>
      <c r="D10" s="5" t="s">
        <v>11</v>
      </c>
      <c r="E10" s="5" t="s">
        <v>12</v>
      </c>
      <c r="F10" s="5" t="s">
        <v>2</v>
      </c>
      <c r="H10" s="5" t="s">
        <v>5</v>
      </c>
      <c r="I10" s="5" t="s">
        <v>13</v>
      </c>
      <c r="J10" s="5" t="s">
        <v>11</v>
      </c>
      <c r="K10" s="5" t="s">
        <v>2</v>
      </c>
      <c r="M10" s="89"/>
      <c r="N10" s="95"/>
      <c r="O10" s="90"/>
      <c r="P10" s="60"/>
    </row>
    <row r="11" spans="2:16" x14ac:dyDescent="0.25">
      <c r="B11" s="21"/>
      <c r="C11" s="16"/>
      <c r="D11" s="16"/>
      <c r="E11" s="16"/>
      <c r="F11" s="33">
        <v>272.89999999999998</v>
      </c>
      <c r="H11" s="18"/>
      <c r="I11" s="13"/>
      <c r="J11" s="13"/>
      <c r="K11" s="60"/>
      <c r="M11" s="77"/>
      <c r="N11" s="96"/>
      <c r="O11" s="87"/>
      <c r="P11" s="61"/>
    </row>
    <row r="12" spans="2:16" x14ac:dyDescent="0.25">
      <c r="B12" s="22"/>
      <c r="C12" s="7"/>
      <c r="D12" s="7"/>
      <c r="E12" s="7"/>
      <c r="F12" s="34">
        <v>50</v>
      </c>
      <c r="H12" s="19"/>
      <c r="I12" s="13"/>
      <c r="J12" s="1"/>
      <c r="K12" s="61"/>
      <c r="M12" s="77"/>
      <c r="N12" s="96"/>
      <c r="O12" s="87"/>
      <c r="P12" s="61"/>
    </row>
    <row r="13" spans="2:16" x14ac:dyDescent="0.25">
      <c r="B13" s="22"/>
      <c r="C13" s="7"/>
      <c r="D13" s="7"/>
      <c r="E13" s="7"/>
      <c r="F13" s="34"/>
      <c r="H13" s="19"/>
      <c r="I13" s="13"/>
      <c r="J13" s="1"/>
      <c r="K13" s="61"/>
      <c r="M13" s="77"/>
      <c r="N13" s="96"/>
      <c r="O13" s="87"/>
      <c r="P13" s="61"/>
    </row>
    <row r="14" spans="2:16" x14ac:dyDescent="0.25">
      <c r="B14" s="22"/>
      <c r="C14" s="7"/>
      <c r="D14" s="7"/>
      <c r="E14" s="7"/>
      <c r="F14" s="34"/>
      <c r="H14" s="19"/>
      <c r="I14" s="13"/>
      <c r="J14" s="1"/>
      <c r="K14" s="61"/>
      <c r="M14" s="77"/>
      <c r="N14" s="96"/>
      <c r="O14" s="87"/>
      <c r="P14" s="61"/>
    </row>
    <row r="15" spans="2:16" x14ac:dyDescent="0.25">
      <c r="B15" s="22"/>
      <c r="C15" s="7"/>
      <c r="D15" s="7"/>
      <c r="E15" s="7"/>
      <c r="F15" s="34"/>
      <c r="H15" s="19"/>
      <c r="I15" s="13"/>
      <c r="J15" s="1"/>
      <c r="K15" s="61"/>
      <c r="M15" s="77"/>
      <c r="N15" s="96"/>
      <c r="O15" s="87"/>
      <c r="P15" s="61"/>
    </row>
    <row r="16" spans="2:16" x14ac:dyDescent="0.25">
      <c r="B16" s="22"/>
      <c r="C16" s="7"/>
      <c r="D16" s="7"/>
      <c r="E16" s="7"/>
      <c r="F16" s="34"/>
      <c r="H16" s="19"/>
      <c r="I16" s="13"/>
      <c r="J16" s="1"/>
      <c r="K16" s="61"/>
      <c r="M16" s="77"/>
      <c r="N16" s="96"/>
      <c r="O16" s="87"/>
      <c r="P16" s="61"/>
    </row>
    <row r="17" spans="2:16" x14ac:dyDescent="0.25">
      <c r="B17" s="22"/>
      <c r="C17" s="7"/>
      <c r="D17" s="7"/>
      <c r="E17" s="7"/>
      <c r="F17" s="34"/>
      <c r="H17" s="19"/>
      <c r="I17" s="13"/>
      <c r="J17" s="1"/>
      <c r="K17" s="61"/>
      <c r="M17" s="77"/>
      <c r="N17" s="96"/>
      <c r="O17" s="87"/>
      <c r="P17" s="61"/>
    </row>
    <row r="18" spans="2:16" x14ac:dyDescent="0.25">
      <c r="B18" s="22"/>
      <c r="C18" s="7"/>
      <c r="D18" s="7"/>
      <c r="E18" s="7"/>
      <c r="F18" s="34"/>
      <c r="H18" s="19"/>
      <c r="I18" s="13"/>
      <c r="J18" s="1"/>
      <c r="K18" s="61"/>
      <c r="M18" s="77"/>
      <c r="N18" s="96"/>
      <c r="O18" s="87"/>
      <c r="P18" s="61"/>
    </row>
    <row r="19" spans="2:16" x14ac:dyDescent="0.25">
      <c r="B19" s="22"/>
      <c r="C19" s="7"/>
      <c r="D19" s="7"/>
      <c r="E19" s="7"/>
      <c r="F19" s="34"/>
      <c r="H19" s="19"/>
      <c r="I19" s="13"/>
      <c r="J19" s="1"/>
      <c r="K19" s="61"/>
      <c r="M19" s="77"/>
      <c r="N19" s="96"/>
      <c r="O19" s="87"/>
      <c r="P19" s="61"/>
    </row>
    <row r="20" spans="2:16" x14ac:dyDescent="0.25">
      <c r="B20" s="22"/>
      <c r="C20" s="7"/>
      <c r="D20" s="7"/>
      <c r="E20" s="7"/>
      <c r="F20" s="34"/>
      <c r="H20" s="19"/>
      <c r="I20" s="13"/>
      <c r="J20" s="1"/>
      <c r="K20" s="61"/>
      <c r="M20" s="77"/>
      <c r="N20" s="96"/>
      <c r="O20" s="87"/>
      <c r="P20" s="61"/>
    </row>
    <row r="21" spans="2:16" x14ac:dyDescent="0.25">
      <c r="B21" s="22"/>
      <c r="C21" s="7"/>
      <c r="D21" s="7"/>
      <c r="E21" s="7"/>
      <c r="F21" s="34"/>
      <c r="H21" s="19"/>
      <c r="I21" s="13"/>
      <c r="J21" s="1"/>
      <c r="K21" s="61"/>
      <c r="M21" s="77"/>
      <c r="N21" s="96"/>
      <c r="O21" s="87"/>
      <c r="P21" s="61"/>
    </row>
    <row r="22" spans="2:16" ht="15.75" thickBot="1" x14ac:dyDescent="0.3">
      <c r="B22" s="22"/>
      <c r="C22" s="7"/>
      <c r="D22" s="7"/>
      <c r="E22" s="7"/>
      <c r="F22" s="34"/>
      <c r="H22" s="20"/>
      <c r="I22" s="3"/>
      <c r="J22" s="3"/>
      <c r="K22" s="62"/>
      <c r="M22" s="77"/>
      <c r="N22" s="96"/>
      <c r="O22" s="87"/>
      <c r="P22" s="61"/>
    </row>
    <row r="23" spans="2:16" x14ac:dyDescent="0.25">
      <c r="B23" s="22"/>
      <c r="C23" s="7"/>
      <c r="D23" s="7"/>
      <c r="E23" s="7"/>
      <c r="F23" s="34"/>
      <c r="M23" s="77"/>
      <c r="N23" s="96"/>
      <c r="O23" s="87"/>
      <c r="P23" s="61"/>
    </row>
    <row r="24" spans="2:16" x14ac:dyDescent="0.25">
      <c r="B24" s="22"/>
      <c r="C24" s="7"/>
      <c r="D24" s="7"/>
      <c r="E24" s="7"/>
      <c r="F24" s="34"/>
      <c r="M24" s="77"/>
      <c r="N24" s="96"/>
      <c r="O24" s="87"/>
      <c r="P24" s="61"/>
    </row>
    <row r="25" spans="2:16" ht="15.75" thickBot="1" x14ac:dyDescent="0.3">
      <c r="B25" s="22"/>
      <c r="C25" s="7"/>
      <c r="D25" s="7"/>
      <c r="E25" s="7"/>
      <c r="F25" s="34"/>
      <c r="M25" s="70"/>
      <c r="N25" s="97"/>
      <c r="O25" s="88"/>
      <c r="P25" s="62"/>
    </row>
    <row r="26" spans="2:16" x14ac:dyDescent="0.25">
      <c r="B26" s="22"/>
      <c r="C26" s="7"/>
      <c r="D26" s="7"/>
      <c r="E26" s="7"/>
      <c r="F26" s="34"/>
    </row>
    <row r="27" spans="2:16" x14ac:dyDescent="0.25">
      <c r="B27" s="22"/>
      <c r="C27" s="7"/>
      <c r="D27" s="7"/>
      <c r="E27" s="7"/>
      <c r="F27" s="34"/>
    </row>
    <row r="28" spans="2:16" x14ac:dyDescent="0.25">
      <c r="B28" s="22"/>
      <c r="C28" s="7"/>
      <c r="D28" s="7"/>
      <c r="E28" s="7"/>
      <c r="F28" s="34"/>
    </row>
    <row r="29" spans="2:16" x14ac:dyDescent="0.25">
      <c r="B29" s="22"/>
      <c r="C29" s="7"/>
      <c r="D29" s="7"/>
      <c r="E29" s="7"/>
      <c r="F29" s="34"/>
    </row>
    <row r="30" spans="2:16" x14ac:dyDescent="0.25">
      <c r="B30" s="22"/>
      <c r="C30" s="7"/>
      <c r="D30" s="7"/>
      <c r="E30" s="7"/>
      <c r="F30" s="34"/>
    </row>
    <row r="31" spans="2:16" x14ac:dyDescent="0.25">
      <c r="B31" s="22"/>
      <c r="C31" s="7"/>
      <c r="D31" s="7"/>
      <c r="E31" s="7"/>
      <c r="F31" s="34"/>
    </row>
    <row r="32" spans="2:16" ht="15.75" thickBot="1" x14ac:dyDescent="0.3">
      <c r="B32" s="23"/>
      <c r="C32" s="9"/>
      <c r="D32" s="9"/>
      <c r="E32" s="9"/>
      <c r="F32" s="35"/>
    </row>
    <row r="34" spans="2:9" ht="15.75" thickBot="1" x14ac:dyDescent="0.3"/>
    <row r="35" spans="2:9" x14ac:dyDescent="0.25">
      <c r="B35" s="72" t="s">
        <v>35</v>
      </c>
      <c r="C35" s="66" t="s">
        <v>120</v>
      </c>
      <c r="D35" s="67">
        <f>SUMIF($D$11:$D$32,C35,$F$11:$F$32)</f>
        <v>0</v>
      </c>
      <c r="H35" s="78" t="s">
        <v>111</v>
      </c>
      <c r="I35" s="67">
        <f>SUMIF($I$11:$I$22,H35,$K$11:$K$22)</f>
        <v>0</v>
      </c>
    </row>
    <row r="36" spans="2:9" ht="15.75" thickBot="1" x14ac:dyDescent="0.3">
      <c r="B36" s="73">
        <f>SUM(D35:D39)</f>
        <v>0</v>
      </c>
      <c r="C36" s="68" t="s">
        <v>80</v>
      </c>
      <c r="D36" s="69">
        <f t="shared" ref="D36:D88" si="0">SUMIF($D$11:$D$32,C36,$F$11:$F$32)</f>
        <v>0</v>
      </c>
      <c r="H36" s="79" t="s">
        <v>112</v>
      </c>
      <c r="I36" s="69">
        <f t="shared" ref="I36:I45" si="1">SUMIF($I$11:$I$22,H36,$K$11:$K$22)</f>
        <v>0</v>
      </c>
    </row>
    <row r="37" spans="2:9" x14ac:dyDescent="0.25">
      <c r="C37" s="68" t="s">
        <v>81</v>
      </c>
      <c r="D37" s="69">
        <f t="shared" si="0"/>
        <v>0</v>
      </c>
      <c r="H37" s="79" t="s">
        <v>113</v>
      </c>
      <c r="I37" s="69">
        <f t="shared" si="1"/>
        <v>0</v>
      </c>
    </row>
    <row r="38" spans="2:9" x14ac:dyDescent="0.25">
      <c r="C38" s="68" t="s">
        <v>36</v>
      </c>
      <c r="D38" s="69">
        <f t="shared" si="0"/>
        <v>0</v>
      </c>
      <c r="H38" s="79" t="s">
        <v>114</v>
      </c>
      <c r="I38" s="69">
        <f t="shared" si="1"/>
        <v>0</v>
      </c>
    </row>
    <row r="39" spans="2:9" ht="15.75" thickBot="1" x14ac:dyDescent="0.3">
      <c r="C39" s="76"/>
      <c r="D39" s="71">
        <f t="shared" si="0"/>
        <v>0</v>
      </c>
      <c r="H39" s="79" t="s">
        <v>115</v>
      </c>
      <c r="I39" s="69">
        <f t="shared" si="1"/>
        <v>0</v>
      </c>
    </row>
    <row r="40" spans="2:9" ht="15.75" thickBot="1" x14ac:dyDescent="0.3">
      <c r="C40" s="54"/>
      <c r="D40" s="63"/>
      <c r="H40" s="79" t="s">
        <v>116</v>
      </c>
      <c r="I40" s="69">
        <f t="shared" si="1"/>
        <v>0</v>
      </c>
    </row>
    <row r="41" spans="2:9" x14ac:dyDescent="0.25">
      <c r="B41" s="72" t="s">
        <v>21</v>
      </c>
      <c r="C41" s="66" t="s">
        <v>85</v>
      </c>
      <c r="D41" s="67">
        <f t="shared" si="0"/>
        <v>0</v>
      </c>
      <c r="H41" s="79" t="s">
        <v>117</v>
      </c>
      <c r="I41" s="69">
        <f t="shared" si="1"/>
        <v>0</v>
      </c>
    </row>
    <row r="42" spans="2:9" ht="15.75" thickBot="1" x14ac:dyDescent="0.3">
      <c r="B42" s="73">
        <f>SUBTOTAL(9,D41:D48)</f>
        <v>0</v>
      </c>
      <c r="C42" s="68" t="s">
        <v>22</v>
      </c>
      <c r="D42" s="69">
        <f t="shared" si="0"/>
        <v>0</v>
      </c>
      <c r="H42" s="79" t="s">
        <v>118</v>
      </c>
      <c r="I42" s="69">
        <f t="shared" si="1"/>
        <v>0</v>
      </c>
    </row>
    <row r="43" spans="2:9" x14ac:dyDescent="0.25">
      <c r="C43" s="68" t="s">
        <v>40</v>
      </c>
      <c r="D43" s="69">
        <f t="shared" si="0"/>
        <v>0</v>
      </c>
      <c r="H43" s="79" t="s">
        <v>84</v>
      </c>
      <c r="I43" s="69">
        <f t="shared" si="1"/>
        <v>0</v>
      </c>
    </row>
    <row r="44" spans="2:9" x14ac:dyDescent="0.25">
      <c r="C44" s="68" t="s">
        <v>87</v>
      </c>
      <c r="D44" s="69">
        <f t="shared" si="0"/>
        <v>0</v>
      </c>
      <c r="H44" s="79" t="s">
        <v>119</v>
      </c>
      <c r="I44" s="69">
        <f t="shared" si="1"/>
        <v>0</v>
      </c>
    </row>
    <row r="45" spans="2:9" ht="15.75" thickBot="1" x14ac:dyDescent="0.3">
      <c r="C45" s="68" t="s">
        <v>86</v>
      </c>
      <c r="D45" s="69">
        <f t="shared" si="0"/>
        <v>0</v>
      </c>
      <c r="H45" s="80"/>
      <c r="I45" s="71">
        <f t="shared" si="1"/>
        <v>0</v>
      </c>
    </row>
    <row r="46" spans="2:9" x14ac:dyDescent="0.25">
      <c r="C46" s="68" t="s">
        <v>43</v>
      </c>
      <c r="D46" s="69">
        <f t="shared" si="0"/>
        <v>0</v>
      </c>
    </row>
    <row r="47" spans="2:9" x14ac:dyDescent="0.25">
      <c r="C47" s="74"/>
      <c r="D47" s="75">
        <f t="shared" si="0"/>
        <v>0</v>
      </c>
    </row>
    <row r="48" spans="2:9" ht="15.75" thickBot="1" x14ac:dyDescent="0.3">
      <c r="C48" s="76"/>
      <c r="D48" s="71">
        <f t="shared" si="0"/>
        <v>0</v>
      </c>
    </row>
    <row r="49" spans="2:4" ht="15.75" thickBot="1" x14ac:dyDescent="0.3">
      <c r="D49" s="63"/>
    </row>
    <row r="50" spans="2:4" x14ac:dyDescent="0.25">
      <c r="B50" s="72" t="s">
        <v>27</v>
      </c>
      <c r="C50" s="66" t="s">
        <v>28</v>
      </c>
      <c r="D50" s="67">
        <f t="shared" si="0"/>
        <v>0</v>
      </c>
    </row>
    <row r="51" spans="2:4" ht="15.75" thickBot="1" x14ac:dyDescent="0.3">
      <c r="B51" s="73">
        <f>SUM(D50:D56)</f>
        <v>0</v>
      </c>
      <c r="C51" s="68" t="s">
        <v>88</v>
      </c>
      <c r="D51" s="69">
        <f t="shared" si="0"/>
        <v>0</v>
      </c>
    </row>
    <row r="52" spans="2:4" x14ac:dyDescent="0.25">
      <c r="C52" s="68" t="s">
        <v>89</v>
      </c>
      <c r="D52" s="69">
        <f t="shared" si="0"/>
        <v>0</v>
      </c>
    </row>
    <row r="53" spans="2:4" x14ac:dyDescent="0.25">
      <c r="C53" s="68" t="s">
        <v>51</v>
      </c>
      <c r="D53" s="69">
        <f t="shared" si="0"/>
        <v>0</v>
      </c>
    </row>
    <row r="54" spans="2:4" x14ac:dyDescent="0.25">
      <c r="C54" s="68" t="s">
        <v>90</v>
      </c>
      <c r="D54" s="69">
        <f t="shared" si="0"/>
        <v>0</v>
      </c>
    </row>
    <row r="55" spans="2:4" x14ac:dyDescent="0.25">
      <c r="C55" s="68" t="s">
        <v>58</v>
      </c>
      <c r="D55" s="69">
        <f t="shared" si="0"/>
        <v>0</v>
      </c>
    </row>
    <row r="56" spans="2:4" ht="15.75" thickBot="1" x14ac:dyDescent="0.3">
      <c r="C56" s="70"/>
      <c r="D56" s="71">
        <f t="shared" si="0"/>
        <v>0</v>
      </c>
    </row>
    <row r="57" spans="2:4" ht="15.75" thickBot="1" x14ac:dyDescent="0.3">
      <c r="D57" s="63"/>
    </row>
    <row r="58" spans="2:4" x14ac:dyDescent="0.25">
      <c r="B58" s="72" t="s">
        <v>24</v>
      </c>
      <c r="C58" s="66" t="s">
        <v>121</v>
      </c>
      <c r="D58" s="67">
        <f t="shared" si="0"/>
        <v>0</v>
      </c>
    </row>
    <row r="59" spans="2:4" ht="15.75" thickBot="1" x14ac:dyDescent="0.3">
      <c r="B59" s="73">
        <f>SUM(D58:D64)</f>
        <v>0</v>
      </c>
      <c r="C59" s="68" t="s">
        <v>32</v>
      </c>
      <c r="D59" s="69">
        <f t="shared" si="0"/>
        <v>0</v>
      </c>
    </row>
    <row r="60" spans="2:4" x14ac:dyDescent="0.25">
      <c r="C60" s="68" t="s">
        <v>91</v>
      </c>
      <c r="D60" s="69">
        <f t="shared" si="0"/>
        <v>0</v>
      </c>
    </row>
    <row r="61" spans="2:4" x14ac:dyDescent="0.25">
      <c r="C61" s="68" t="s">
        <v>92</v>
      </c>
      <c r="D61" s="69">
        <f t="shared" si="0"/>
        <v>0</v>
      </c>
    </row>
    <row r="62" spans="2:4" x14ac:dyDescent="0.25">
      <c r="C62" s="68" t="s">
        <v>93</v>
      </c>
      <c r="D62" s="69">
        <f t="shared" si="0"/>
        <v>0</v>
      </c>
    </row>
    <row r="63" spans="2:4" x14ac:dyDescent="0.25">
      <c r="C63" s="68" t="s">
        <v>25</v>
      </c>
      <c r="D63" s="69">
        <f t="shared" si="0"/>
        <v>0</v>
      </c>
    </row>
    <row r="64" spans="2:4" ht="15.75" thickBot="1" x14ac:dyDescent="0.3">
      <c r="C64" s="70"/>
      <c r="D64" s="71">
        <f t="shared" si="0"/>
        <v>0</v>
      </c>
    </row>
    <row r="65" spans="2:4" ht="15.75" thickBot="1" x14ac:dyDescent="0.3">
      <c r="D65" s="63"/>
    </row>
    <row r="66" spans="2:4" x14ac:dyDescent="0.25">
      <c r="B66" s="72" t="s">
        <v>83</v>
      </c>
      <c r="C66" s="66" t="s">
        <v>122</v>
      </c>
      <c r="D66" s="67">
        <f t="shared" si="0"/>
        <v>0</v>
      </c>
    </row>
    <row r="67" spans="2:4" ht="15.75" thickBot="1" x14ac:dyDescent="0.3">
      <c r="B67" s="73">
        <f>SUM(D66:D72)</f>
        <v>0</v>
      </c>
      <c r="C67" s="68" t="s">
        <v>95</v>
      </c>
      <c r="D67" s="69">
        <f t="shared" si="0"/>
        <v>0</v>
      </c>
    </row>
    <row r="68" spans="2:4" x14ac:dyDescent="0.25">
      <c r="C68" s="68" t="s">
        <v>96</v>
      </c>
      <c r="D68" s="69">
        <f t="shared" si="0"/>
        <v>0</v>
      </c>
    </row>
    <row r="69" spans="2:4" x14ac:dyDescent="0.25">
      <c r="C69" s="68" t="s">
        <v>123</v>
      </c>
      <c r="D69" s="69">
        <f t="shared" si="0"/>
        <v>0</v>
      </c>
    </row>
    <row r="70" spans="2:4" x14ac:dyDescent="0.25">
      <c r="C70" s="68" t="s">
        <v>98</v>
      </c>
      <c r="D70" s="69">
        <f t="shared" si="0"/>
        <v>0</v>
      </c>
    </row>
    <row r="71" spans="2:4" x14ac:dyDescent="0.25">
      <c r="C71" s="68" t="s">
        <v>99</v>
      </c>
      <c r="D71" s="69">
        <f t="shared" si="0"/>
        <v>0</v>
      </c>
    </row>
    <row r="72" spans="2:4" ht="15.75" thickBot="1" x14ac:dyDescent="0.3">
      <c r="C72" s="70"/>
      <c r="D72" s="71">
        <f t="shared" si="0"/>
        <v>0</v>
      </c>
    </row>
    <row r="73" spans="2:4" ht="15.75" thickBot="1" x14ac:dyDescent="0.3">
      <c r="D73" s="63"/>
    </row>
    <row r="74" spans="2:4" x14ac:dyDescent="0.25">
      <c r="B74" s="72" t="s">
        <v>84</v>
      </c>
      <c r="C74" s="66" t="s">
        <v>100</v>
      </c>
      <c r="D74" s="67">
        <f t="shared" si="0"/>
        <v>0</v>
      </c>
    </row>
    <row r="75" spans="2:4" ht="15.75" thickBot="1" x14ac:dyDescent="0.3">
      <c r="B75" s="73">
        <f>SUM(D74:D80)</f>
        <v>0</v>
      </c>
      <c r="C75" s="68" t="s">
        <v>101</v>
      </c>
      <c r="D75" s="69">
        <f t="shared" si="0"/>
        <v>0</v>
      </c>
    </row>
    <row r="76" spans="2:4" x14ac:dyDescent="0.25">
      <c r="C76" s="68" t="s">
        <v>103</v>
      </c>
      <c r="D76" s="69">
        <f t="shared" si="0"/>
        <v>0</v>
      </c>
    </row>
    <row r="77" spans="2:4" x14ac:dyDescent="0.25">
      <c r="C77" s="68" t="s">
        <v>105</v>
      </c>
      <c r="D77" s="69">
        <f t="shared" si="0"/>
        <v>0</v>
      </c>
    </row>
    <row r="78" spans="2:4" x14ac:dyDescent="0.25">
      <c r="C78" s="68"/>
      <c r="D78" s="69">
        <f t="shared" si="0"/>
        <v>0</v>
      </c>
    </row>
    <row r="79" spans="2:4" x14ac:dyDescent="0.25">
      <c r="C79" s="68"/>
      <c r="D79" s="69">
        <f t="shared" si="0"/>
        <v>0</v>
      </c>
    </row>
    <row r="80" spans="2:4" ht="15.75" thickBot="1" x14ac:dyDescent="0.3">
      <c r="C80" s="70"/>
      <c r="D80" s="71">
        <f t="shared" si="0"/>
        <v>0</v>
      </c>
    </row>
    <row r="81" spans="2:4" ht="15.75" thickBot="1" x14ac:dyDescent="0.3">
      <c r="D81" s="63"/>
    </row>
    <row r="82" spans="2:4" x14ac:dyDescent="0.25">
      <c r="B82" s="72" t="s">
        <v>45</v>
      </c>
      <c r="C82" s="66" t="s">
        <v>106</v>
      </c>
      <c r="D82" s="67">
        <f t="shared" si="0"/>
        <v>0</v>
      </c>
    </row>
    <row r="83" spans="2:4" ht="15.75" thickBot="1" x14ac:dyDescent="0.3">
      <c r="B83" s="73">
        <f>SUM(D82:D88)</f>
        <v>0</v>
      </c>
      <c r="C83" s="68" t="s">
        <v>107</v>
      </c>
      <c r="D83" s="69">
        <f>SUMIF($D$11:$D$32,C83,$F$11:$F$32)</f>
        <v>0</v>
      </c>
    </row>
    <row r="84" spans="2:4" x14ac:dyDescent="0.25">
      <c r="C84" s="68" t="s">
        <v>108</v>
      </c>
      <c r="D84" s="69">
        <f t="shared" si="0"/>
        <v>0</v>
      </c>
    </row>
    <row r="85" spans="2:4" x14ac:dyDescent="0.25">
      <c r="C85" s="68" t="s">
        <v>109</v>
      </c>
      <c r="D85" s="69">
        <f t="shared" si="0"/>
        <v>0</v>
      </c>
    </row>
    <row r="86" spans="2:4" x14ac:dyDescent="0.25">
      <c r="C86" s="68" t="s">
        <v>110</v>
      </c>
      <c r="D86" s="69">
        <f t="shared" si="0"/>
        <v>0</v>
      </c>
    </row>
    <row r="87" spans="2:4" x14ac:dyDescent="0.25">
      <c r="C87" s="68" t="s">
        <v>46</v>
      </c>
      <c r="D87" s="69">
        <f t="shared" si="0"/>
        <v>0</v>
      </c>
    </row>
    <row r="88" spans="2:4" ht="15.75" thickBot="1" x14ac:dyDescent="0.3">
      <c r="C88" s="70"/>
      <c r="D88" s="71">
        <f t="shared" si="0"/>
        <v>0</v>
      </c>
    </row>
  </sheetData>
  <mergeCells count="3">
    <mergeCell ref="H2:K2"/>
    <mergeCell ref="B9:F9"/>
    <mergeCell ref="H9:K9"/>
  </mergeCells>
  <dataValidations count="1">
    <dataValidation type="list" allowBlank="1" showInputMessage="1" showErrorMessage="1" sqref="D11:D32">
      <formula1>INDIRECT(C11)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Modelo!$P$3:$P$10</xm:f>
          </x14:formula1>
          <xm:sqref>C11:C32</xm:sqref>
        </x14:dataValidation>
        <x14:dataValidation type="list" allowBlank="1" showInputMessage="1" showErrorMessage="1">
          <x14:formula1>
            <xm:f>Modelo!$R$3:$R$14</xm:f>
          </x14:formula1>
          <xm:sqref>I11:I22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1:P88"/>
  <sheetViews>
    <sheetView showGridLines="0" tabSelected="1" zoomScaleNormal="100" workbookViewId="0">
      <selection activeCell="H7" sqref="H7"/>
    </sheetView>
  </sheetViews>
  <sheetFormatPr defaultRowHeight="15" x14ac:dyDescent="0.25"/>
  <cols>
    <col min="1" max="1" width="3" customWidth="1"/>
    <col min="2" max="2" width="12.140625" bestFit="1" customWidth="1"/>
    <col min="3" max="3" width="41.5703125" bestFit="1" customWidth="1"/>
    <col min="4" max="4" width="15.85546875" bestFit="1" customWidth="1"/>
    <col min="5" max="5" width="9.28515625" bestFit="1" customWidth="1"/>
    <col min="6" max="6" width="15.85546875" bestFit="1" customWidth="1"/>
    <col min="7" max="7" width="2.5703125" customWidth="1"/>
    <col min="8" max="8" width="17.85546875" bestFit="1" customWidth="1"/>
    <col min="9" max="9" width="13.7109375" bestFit="1" customWidth="1"/>
    <col min="10" max="11" width="11.85546875" customWidth="1"/>
    <col min="13" max="15" width="12" customWidth="1"/>
    <col min="16" max="16" width="15.85546875" bestFit="1" customWidth="1"/>
  </cols>
  <sheetData>
    <row r="1" spans="2:16" ht="15.75" thickBot="1" x14ac:dyDescent="0.3"/>
    <row r="2" spans="2:16" ht="15.75" thickBot="1" x14ac:dyDescent="0.3">
      <c r="B2" s="11" t="s">
        <v>61</v>
      </c>
      <c r="C2" s="32" t="s">
        <v>1</v>
      </c>
      <c r="D2" s="31" t="s">
        <v>2</v>
      </c>
      <c r="F2" s="5" t="s">
        <v>3</v>
      </c>
      <c r="H2" s="128"/>
      <c r="I2" s="128"/>
      <c r="J2" s="128"/>
      <c r="K2" s="128"/>
    </row>
    <row r="3" spans="2:16" ht="15.75" thickBot="1" x14ac:dyDescent="0.3">
      <c r="B3" s="10" t="s">
        <v>4</v>
      </c>
      <c r="C3" s="29"/>
      <c r="D3" s="30">
        <v>652.59</v>
      </c>
      <c r="F3" s="38">
        <f>SUM(D3,D5,D6,D7,D4)</f>
        <v>766.59</v>
      </c>
      <c r="I3" s="11" t="s">
        <v>5</v>
      </c>
    </row>
    <row r="4" spans="2:16" ht="15.75" thickBot="1" x14ac:dyDescent="0.3">
      <c r="B4" s="6" t="s">
        <v>128</v>
      </c>
      <c r="C4" s="7"/>
      <c r="D4" s="26">
        <f>SUM(P10:P25)</f>
        <v>0</v>
      </c>
      <c r="F4" s="37">
        <f>SUM(F11:F32)</f>
        <v>152.46</v>
      </c>
      <c r="I4" s="15">
        <f ca="1">TODAY()</f>
        <v>46002</v>
      </c>
    </row>
    <row r="5" spans="2:16" ht="15.75" thickBot="1" x14ac:dyDescent="0.3">
      <c r="B5" s="24" t="s">
        <v>6</v>
      </c>
      <c r="C5" s="25"/>
      <c r="D5" s="27">
        <v>84</v>
      </c>
      <c r="F5" s="98">
        <f>D4</f>
        <v>0</v>
      </c>
      <c r="I5" s="17" t="s">
        <v>7</v>
      </c>
    </row>
    <row r="6" spans="2:16" ht="15.75" thickBot="1" x14ac:dyDescent="0.3">
      <c r="B6" s="24" t="s">
        <v>132</v>
      </c>
      <c r="C6" s="25"/>
      <c r="D6" s="27">
        <v>80</v>
      </c>
      <c r="F6" s="36">
        <f>SUM(K11:K22)</f>
        <v>414.3</v>
      </c>
      <c r="I6" s="14">
        <v>46002</v>
      </c>
    </row>
    <row r="7" spans="2:16" ht="15.75" thickBot="1" x14ac:dyDescent="0.3">
      <c r="B7" s="8" t="s">
        <v>15</v>
      </c>
      <c r="C7" s="9"/>
      <c r="D7" s="28">
        <f>Nov!F7</f>
        <v>-50</v>
      </c>
      <c r="F7" s="39">
        <f>F3-F4-F6</f>
        <v>199.82999999999998</v>
      </c>
    </row>
    <row r="8" spans="2:16" ht="15.75" thickBot="1" x14ac:dyDescent="0.3"/>
    <row r="9" spans="2:16" ht="15.75" thickBot="1" x14ac:dyDescent="0.3">
      <c r="B9" s="124" t="s">
        <v>8</v>
      </c>
      <c r="C9" s="125"/>
      <c r="D9" s="125"/>
      <c r="E9" s="125"/>
      <c r="F9" s="126"/>
      <c r="H9" s="127" t="s">
        <v>9</v>
      </c>
      <c r="I9" s="127"/>
      <c r="J9" s="127"/>
      <c r="K9" s="127"/>
      <c r="M9" s="91" t="s">
        <v>129</v>
      </c>
      <c r="N9" s="92" t="s">
        <v>130</v>
      </c>
      <c r="O9" s="93" t="s">
        <v>131</v>
      </c>
      <c r="P9" s="94" t="s">
        <v>74</v>
      </c>
    </row>
    <row r="10" spans="2:16" ht="15.75" thickBot="1" x14ac:dyDescent="0.3">
      <c r="B10" s="5" t="s">
        <v>5</v>
      </c>
      <c r="C10" s="5" t="s">
        <v>10</v>
      </c>
      <c r="D10" s="5" t="s">
        <v>11</v>
      </c>
      <c r="E10" s="5" t="s">
        <v>12</v>
      </c>
      <c r="F10" s="5" t="s">
        <v>2</v>
      </c>
      <c r="H10" s="5" t="s">
        <v>5</v>
      </c>
      <c r="I10" s="5" t="s">
        <v>13</v>
      </c>
      <c r="J10" s="5" t="s">
        <v>11</v>
      </c>
      <c r="K10" s="5" t="s">
        <v>2</v>
      </c>
      <c r="M10" s="89"/>
      <c r="N10" s="95"/>
      <c r="O10" s="90"/>
      <c r="P10" s="60"/>
    </row>
    <row r="11" spans="2:16" x14ac:dyDescent="0.25">
      <c r="B11" s="21">
        <v>46001</v>
      </c>
      <c r="C11" s="16" t="s">
        <v>35</v>
      </c>
      <c r="D11" s="16" t="s">
        <v>120</v>
      </c>
      <c r="E11" s="16" t="s">
        <v>139</v>
      </c>
      <c r="F11" s="33">
        <v>14.98</v>
      </c>
      <c r="H11" s="18">
        <v>1</v>
      </c>
      <c r="I11" s="13" t="s">
        <v>111</v>
      </c>
      <c r="J11" s="13" t="s">
        <v>134</v>
      </c>
      <c r="K11" s="60">
        <v>30</v>
      </c>
      <c r="M11" s="77"/>
      <c r="N11" s="96"/>
      <c r="O11" s="87"/>
      <c r="P11" s="61"/>
    </row>
    <row r="12" spans="2:16" x14ac:dyDescent="0.25">
      <c r="B12" s="22">
        <v>46002</v>
      </c>
      <c r="C12" s="7" t="s">
        <v>27</v>
      </c>
      <c r="D12" s="7" t="s">
        <v>90</v>
      </c>
      <c r="E12" s="7" t="s">
        <v>140</v>
      </c>
      <c r="F12" s="34">
        <v>22.5</v>
      </c>
      <c r="H12" s="19">
        <v>45966</v>
      </c>
      <c r="I12" s="13" t="s">
        <v>112</v>
      </c>
      <c r="J12" s="1" t="s">
        <v>53</v>
      </c>
      <c r="K12" s="61">
        <v>6.8</v>
      </c>
      <c r="M12" s="77"/>
      <c r="N12" s="96"/>
      <c r="O12" s="87"/>
      <c r="P12" s="61"/>
    </row>
    <row r="13" spans="2:16" x14ac:dyDescent="0.25">
      <c r="B13" s="22">
        <v>46002</v>
      </c>
      <c r="C13" s="7" t="s">
        <v>27</v>
      </c>
      <c r="D13" s="7" t="s">
        <v>51</v>
      </c>
      <c r="E13" s="7" t="s">
        <v>141</v>
      </c>
      <c r="F13" s="34">
        <v>114.98</v>
      </c>
      <c r="H13" s="19">
        <v>45996</v>
      </c>
      <c r="I13" s="13" t="s">
        <v>118</v>
      </c>
      <c r="J13" s="1" t="s">
        <v>135</v>
      </c>
      <c r="K13" s="61">
        <v>130</v>
      </c>
      <c r="M13" s="77"/>
      <c r="N13" s="96"/>
      <c r="O13" s="87"/>
      <c r="P13" s="61"/>
    </row>
    <row r="14" spans="2:16" x14ac:dyDescent="0.25">
      <c r="B14" s="22"/>
      <c r="C14" s="7"/>
      <c r="D14" s="7"/>
      <c r="E14" s="7"/>
      <c r="F14" s="34"/>
      <c r="H14" s="19">
        <v>45998</v>
      </c>
      <c r="I14" s="13" t="s">
        <v>118</v>
      </c>
      <c r="J14" s="1" t="s">
        <v>59</v>
      </c>
      <c r="K14" s="61">
        <v>147.5</v>
      </c>
      <c r="M14" s="77"/>
      <c r="N14" s="96"/>
      <c r="O14" s="87"/>
      <c r="P14" s="61"/>
    </row>
    <row r="15" spans="2:16" x14ac:dyDescent="0.25">
      <c r="B15" s="22"/>
      <c r="C15" s="7"/>
      <c r="D15" s="7"/>
      <c r="E15" s="7"/>
      <c r="F15" s="34"/>
      <c r="H15" s="19">
        <v>45999</v>
      </c>
      <c r="I15" s="13" t="s">
        <v>118</v>
      </c>
      <c r="J15" s="1" t="s">
        <v>136</v>
      </c>
      <c r="K15" s="61">
        <v>70</v>
      </c>
      <c r="M15" s="77"/>
      <c r="N15" s="96"/>
      <c r="O15" s="87"/>
      <c r="P15" s="61"/>
    </row>
    <row r="16" spans="2:16" x14ac:dyDescent="0.25">
      <c r="B16" s="22"/>
      <c r="C16" s="7"/>
      <c r="D16" s="7"/>
      <c r="E16" s="7"/>
      <c r="F16" s="34"/>
      <c r="H16" s="19">
        <v>46000</v>
      </c>
      <c r="I16" s="13" t="s">
        <v>115</v>
      </c>
      <c r="J16" s="1" t="s">
        <v>138</v>
      </c>
      <c r="K16" s="61">
        <v>30</v>
      </c>
      <c r="M16" s="77"/>
      <c r="N16" s="96"/>
      <c r="O16" s="87"/>
      <c r="P16" s="61"/>
    </row>
    <row r="17" spans="2:16" x14ac:dyDescent="0.25">
      <c r="B17" s="22"/>
      <c r="C17" s="7"/>
      <c r="D17" s="7"/>
      <c r="E17" s="7"/>
      <c r="F17" s="34"/>
      <c r="H17" s="19"/>
      <c r="I17" s="13"/>
      <c r="J17" s="1"/>
      <c r="K17" s="61"/>
      <c r="M17" s="77"/>
      <c r="N17" s="96"/>
      <c r="O17" s="87"/>
      <c r="P17" s="61"/>
    </row>
    <row r="18" spans="2:16" x14ac:dyDescent="0.25">
      <c r="B18" s="22"/>
      <c r="C18" s="7"/>
      <c r="D18" s="7"/>
      <c r="E18" s="7"/>
      <c r="F18" s="34"/>
      <c r="H18" s="19"/>
      <c r="I18" s="13"/>
      <c r="J18" s="1"/>
      <c r="K18" s="61"/>
      <c r="M18" s="77"/>
      <c r="N18" s="96"/>
      <c r="O18" s="87"/>
      <c r="P18" s="61"/>
    </row>
    <row r="19" spans="2:16" x14ac:dyDescent="0.25">
      <c r="B19" s="22"/>
      <c r="C19" s="7"/>
      <c r="D19" s="7"/>
      <c r="E19" s="7"/>
      <c r="F19" s="34"/>
      <c r="H19" s="19"/>
      <c r="I19" s="13"/>
      <c r="J19" s="1"/>
      <c r="K19" s="61"/>
      <c r="M19" s="77"/>
      <c r="N19" s="96"/>
      <c r="O19" s="87"/>
      <c r="P19" s="61"/>
    </row>
    <row r="20" spans="2:16" x14ac:dyDescent="0.25">
      <c r="B20" s="22"/>
      <c r="C20" s="7"/>
      <c r="D20" s="7"/>
      <c r="E20" s="7"/>
      <c r="F20" s="34"/>
      <c r="H20" s="19"/>
      <c r="I20" s="13"/>
      <c r="J20" s="1"/>
      <c r="K20" s="61"/>
      <c r="M20" s="77"/>
      <c r="N20" s="96"/>
      <c r="O20" s="87"/>
      <c r="P20" s="61"/>
    </row>
    <row r="21" spans="2:16" x14ac:dyDescent="0.25">
      <c r="B21" s="22"/>
      <c r="C21" s="7"/>
      <c r="D21" s="7"/>
      <c r="E21" s="7"/>
      <c r="F21" s="34"/>
      <c r="H21" s="19"/>
      <c r="I21" s="13"/>
      <c r="J21" s="1"/>
      <c r="K21" s="61"/>
      <c r="M21" s="77"/>
      <c r="N21" s="96"/>
      <c r="O21" s="87"/>
      <c r="P21" s="61"/>
    </row>
    <row r="22" spans="2:16" ht="15.75" thickBot="1" x14ac:dyDescent="0.3">
      <c r="B22" s="22"/>
      <c r="C22" s="7"/>
      <c r="D22" s="7"/>
      <c r="E22" s="7"/>
      <c r="F22" s="34"/>
      <c r="H22" s="20"/>
      <c r="I22" s="3"/>
      <c r="J22" s="3"/>
      <c r="K22" s="62"/>
      <c r="M22" s="77"/>
      <c r="N22" s="96"/>
      <c r="O22" s="87"/>
      <c r="P22" s="61"/>
    </row>
    <row r="23" spans="2:16" x14ac:dyDescent="0.25">
      <c r="B23" s="22"/>
      <c r="C23" s="7"/>
      <c r="D23" s="7"/>
      <c r="E23" s="7"/>
      <c r="F23" s="34"/>
      <c r="M23" s="77"/>
      <c r="N23" s="96"/>
      <c r="O23" s="87"/>
      <c r="P23" s="61"/>
    </row>
    <row r="24" spans="2:16" x14ac:dyDescent="0.25">
      <c r="B24" s="22"/>
      <c r="C24" s="7"/>
      <c r="D24" s="7"/>
      <c r="E24" s="7"/>
      <c r="F24" s="34"/>
      <c r="M24" s="77"/>
      <c r="N24" s="96"/>
      <c r="O24" s="87"/>
      <c r="P24" s="61"/>
    </row>
    <row r="25" spans="2:16" ht="15.75" thickBot="1" x14ac:dyDescent="0.3">
      <c r="B25" s="22"/>
      <c r="C25" s="7"/>
      <c r="D25" s="7"/>
      <c r="E25" s="7"/>
      <c r="F25" s="34"/>
      <c r="M25" s="70"/>
      <c r="N25" s="97"/>
      <c r="O25" s="88"/>
      <c r="P25" s="62"/>
    </row>
    <row r="26" spans="2:16" x14ac:dyDescent="0.25">
      <c r="B26" s="22"/>
      <c r="C26" s="7"/>
      <c r="D26" s="7"/>
      <c r="E26" s="7"/>
      <c r="F26" s="34"/>
    </row>
    <row r="27" spans="2:16" x14ac:dyDescent="0.25">
      <c r="B27" s="22"/>
      <c r="C27" s="7"/>
      <c r="D27" s="7"/>
      <c r="E27" s="7"/>
      <c r="F27" s="34"/>
    </row>
    <row r="28" spans="2:16" x14ac:dyDescent="0.25">
      <c r="B28" s="22"/>
      <c r="C28" s="7"/>
      <c r="D28" s="7"/>
      <c r="E28" s="7"/>
      <c r="F28" s="34"/>
    </row>
    <row r="29" spans="2:16" x14ac:dyDescent="0.25">
      <c r="B29" s="22"/>
      <c r="C29" s="7"/>
      <c r="D29" s="7"/>
      <c r="E29" s="7"/>
      <c r="F29" s="34"/>
    </row>
    <row r="30" spans="2:16" x14ac:dyDescent="0.25">
      <c r="B30" s="22"/>
      <c r="C30" s="7"/>
      <c r="D30" s="7"/>
      <c r="E30" s="7"/>
      <c r="F30" s="34"/>
    </row>
    <row r="31" spans="2:16" x14ac:dyDescent="0.25">
      <c r="B31" s="22"/>
      <c r="C31" s="7"/>
      <c r="D31" s="7"/>
      <c r="E31" s="7"/>
      <c r="F31" s="34"/>
    </row>
    <row r="32" spans="2:16" ht="15.75" thickBot="1" x14ac:dyDescent="0.3">
      <c r="B32" s="23"/>
      <c r="C32" s="9"/>
      <c r="D32" s="9"/>
      <c r="E32" s="9"/>
      <c r="F32" s="35"/>
    </row>
    <row r="34" spans="2:9" ht="15.75" thickBot="1" x14ac:dyDescent="0.3"/>
    <row r="35" spans="2:9" x14ac:dyDescent="0.25">
      <c r="B35" s="72" t="s">
        <v>35</v>
      </c>
      <c r="C35" s="66" t="s">
        <v>120</v>
      </c>
      <c r="D35" s="67">
        <f>SUMIF($D$11:$D$32,C35,$F$11:$F$32)</f>
        <v>14.98</v>
      </c>
      <c r="H35" s="78" t="s">
        <v>111</v>
      </c>
      <c r="I35" s="67">
        <f>SUMIF($I$11:$I$22,H35,$K$11:$K$22)</f>
        <v>30</v>
      </c>
    </row>
    <row r="36" spans="2:9" ht="15.75" thickBot="1" x14ac:dyDescent="0.3">
      <c r="B36" s="73">
        <f>SUM(D35:D39)</f>
        <v>14.98</v>
      </c>
      <c r="C36" s="68" t="s">
        <v>80</v>
      </c>
      <c r="D36" s="69">
        <f t="shared" ref="D36:D88" si="0">SUMIF($D$11:$D$32,C36,$F$11:$F$32)</f>
        <v>0</v>
      </c>
      <c r="H36" s="79" t="s">
        <v>112</v>
      </c>
      <c r="I36" s="69">
        <f t="shared" ref="I36:I45" si="1">SUMIF($I$11:$I$22,H36,$K$11:$K$22)</f>
        <v>6.8</v>
      </c>
    </row>
    <row r="37" spans="2:9" x14ac:dyDescent="0.25">
      <c r="C37" s="68" t="s">
        <v>81</v>
      </c>
      <c r="D37" s="69">
        <f t="shared" si="0"/>
        <v>0</v>
      </c>
      <c r="H37" s="79" t="s">
        <v>113</v>
      </c>
      <c r="I37" s="69">
        <f t="shared" si="1"/>
        <v>0</v>
      </c>
    </row>
    <row r="38" spans="2:9" x14ac:dyDescent="0.25">
      <c r="C38" s="68" t="s">
        <v>36</v>
      </c>
      <c r="D38" s="69">
        <f t="shared" si="0"/>
        <v>0</v>
      </c>
      <c r="H38" s="79" t="s">
        <v>114</v>
      </c>
      <c r="I38" s="69">
        <f t="shared" si="1"/>
        <v>0</v>
      </c>
    </row>
    <row r="39" spans="2:9" ht="15.75" thickBot="1" x14ac:dyDescent="0.3">
      <c r="C39" s="76"/>
      <c r="D39" s="71">
        <f t="shared" si="0"/>
        <v>0</v>
      </c>
      <c r="H39" s="79" t="s">
        <v>115</v>
      </c>
      <c r="I39" s="69">
        <f t="shared" si="1"/>
        <v>30</v>
      </c>
    </row>
    <row r="40" spans="2:9" ht="15.75" thickBot="1" x14ac:dyDescent="0.3">
      <c r="C40" s="54"/>
      <c r="D40" s="63"/>
      <c r="H40" s="79" t="s">
        <v>116</v>
      </c>
      <c r="I40" s="69">
        <f t="shared" si="1"/>
        <v>0</v>
      </c>
    </row>
    <row r="41" spans="2:9" x14ac:dyDescent="0.25">
      <c r="B41" s="72" t="s">
        <v>21</v>
      </c>
      <c r="C41" s="66" t="s">
        <v>85</v>
      </c>
      <c r="D41" s="67">
        <f t="shared" si="0"/>
        <v>0</v>
      </c>
      <c r="H41" s="79" t="s">
        <v>117</v>
      </c>
      <c r="I41" s="69">
        <f t="shared" si="1"/>
        <v>0</v>
      </c>
    </row>
    <row r="42" spans="2:9" ht="15.75" thickBot="1" x14ac:dyDescent="0.3">
      <c r="B42" s="73">
        <f>SUBTOTAL(9,D41:D48)</f>
        <v>0</v>
      </c>
      <c r="C42" s="68" t="s">
        <v>22</v>
      </c>
      <c r="D42" s="69">
        <f t="shared" si="0"/>
        <v>0</v>
      </c>
      <c r="H42" s="79" t="s">
        <v>118</v>
      </c>
      <c r="I42" s="69">
        <f t="shared" si="1"/>
        <v>347.5</v>
      </c>
    </row>
    <row r="43" spans="2:9" x14ac:dyDescent="0.25">
      <c r="C43" s="68" t="s">
        <v>40</v>
      </c>
      <c r="D43" s="69">
        <f t="shared" si="0"/>
        <v>0</v>
      </c>
      <c r="H43" s="79" t="s">
        <v>84</v>
      </c>
      <c r="I43" s="69">
        <f t="shared" si="1"/>
        <v>0</v>
      </c>
    </row>
    <row r="44" spans="2:9" x14ac:dyDescent="0.25">
      <c r="C44" s="68" t="s">
        <v>87</v>
      </c>
      <c r="D44" s="69">
        <f t="shared" si="0"/>
        <v>0</v>
      </c>
      <c r="H44" s="79" t="s">
        <v>119</v>
      </c>
      <c r="I44" s="69">
        <f t="shared" si="1"/>
        <v>0</v>
      </c>
    </row>
    <row r="45" spans="2:9" ht="15.75" thickBot="1" x14ac:dyDescent="0.3">
      <c r="C45" s="68" t="s">
        <v>86</v>
      </c>
      <c r="D45" s="69">
        <f t="shared" si="0"/>
        <v>0</v>
      </c>
      <c r="H45" s="80"/>
      <c r="I45" s="71">
        <f t="shared" si="1"/>
        <v>0</v>
      </c>
    </row>
    <row r="46" spans="2:9" x14ac:dyDescent="0.25">
      <c r="C46" s="68" t="s">
        <v>43</v>
      </c>
      <c r="D46" s="69">
        <f t="shared" si="0"/>
        <v>0</v>
      </c>
    </row>
    <row r="47" spans="2:9" x14ac:dyDescent="0.25">
      <c r="C47" s="74"/>
      <c r="D47" s="75">
        <f t="shared" si="0"/>
        <v>0</v>
      </c>
    </row>
    <row r="48" spans="2:9" ht="15.75" thickBot="1" x14ac:dyDescent="0.3">
      <c r="C48" s="76"/>
      <c r="D48" s="71">
        <f t="shared" si="0"/>
        <v>0</v>
      </c>
    </row>
    <row r="49" spans="2:4" ht="15.75" thickBot="1" x14ac:dyDescent="0.3">
      <c r="D49" s="63"/>
    </row>
    <row r="50" spans="2:4" x14ac:dyDescent="0.25">
      <c r="B50" s="72" t="s">
        <v>27</v>
      </c>
      <c r="C50" s="66" t="s">
        <v>28</v>
      </c>
      <c r="D50" s="67">
        <f t="shared" si="0"/>
        <v>0</v>
      </c>
    </row>
    <row r="51" spans="2:4" ht="15.75" thickBot="1" x14ac:dyDescent="0.3">
      <c r="B51" s="73">
        <f>SUM(D50:D56)</f>
        <v>137.48000000000002</v>
      </c>
      <c r="C51" s="68" t="s">
        <v>88</v>
      </c>
      <c r="D51" s="69">
        <f t="shared" si="0"/>
        <v>0</v>
      </c>
    </row>
    <row r="52" spans="2:4" x14ac:dyDescent="0.25">
      <c r="C52" s="68" t="s">
        <v>89</v>
      </c>
      <c r="D52" s="69">
        <f t="shared" si="0"/>
        <v>0</v>
      </c>
    </row>
    <row r="53" spans="2:4" x14ac:dyDescent="0.25">
      <c r="C53" s="68" t="s">
        <v>51</v>
      </c>
      <c r="D53" s="69">
        <f t="shared" si="0"/>
        <v>114.98</v>
      </c>
    </row>
    <row r="54" spans="2:4" x14ac:dyDescent="0.25">
      <c r="C54" s="68" t="s">
        <v>90</v>
      </c>
      <c r="D54" s="69">
        <f t="shared" si="0"/>
        <v>22.5</v>
      </c>
    </row>
    <row r="55" spans="2:4" x14ac:dyDescent="0.25">
      <c r="C55" s="68" t="s">
        <v>58</v>
      </c>
      <c r="D55" s="69">
        <f t="shared" si="0"/>
        <v>0</v>
      </c>
    </row>
    <row r="56" spans="2:4" ht="15.75" thickBot="1" x14ac:dyDescent="0.3">
      <c r="C56" s="70"/>
      <c r="D56" s="71">
        <f t="shared" si="0"/>
        <v>0</v>
      </c>
    </row>
    <row r="57" spans="2:4" ht="15.75" thickBot="1" x14ac:dyDescent="0.3">
      <c r="D57" s="63"/>
    </row>
    <row r="58" spans="2:4" x14ac:dyDescent="0.25">
      <c r="B58" s="72" t="s">
        <v>24</v>
      </c>
      <c r="C58" s="66" t="s">
        <v>121</v>
      </c>
      <c r="D58" s="67">
        <f t="shared" si="0"/>
        <v>0</v>
      </c>
    </row>
    <row r="59" spans="2:4" ht="15.75" thickBot="1" x14ac:dyDescent="0.3">
      <c r="B59" s="73">
        <f>SUM(D58:D64)</f>
        <v>0</v>
      </c>
      <c r="C59" s="68" t="s">
        <v>32</v>
      </c>
      <c r="D59" s="69">
        <f t="shared" si="0"/>
        <v>0</v>
      </c>
    </row>
    <row r="60" spans="2:4" x14ac:dyDescent="0.25">
      <c r="C60" s="68" t="s">
        <v>91</v>
      </c>
      <c r="D60" s="69">
        <f t="shared" si="0"/>
        <v>0</v>
      </c>
    </row>
    <row r="61" spans="2:4" x14ac:dyDescent="0.25">
      <c r="C61" s="68" t="s">
        <v>92</v>
      </c>
      <c r="D61" s="69">
        <f t="shared" si="0"/>
        <v>0</v>
      </c>
    </row>
    <row r="62" spans="2:4" x14ac:dyDescent="0.25">
      <c r="C62" s="68" t="s">
        <v>93</v>
      </c>
      <c r="D62" s="69">
        <f t="shared" si="0"/>
        <v>0</v>
      </c>
    </row>
    <row r="63" spans="2:4" x14ac:dyDescent="0.25">
      <c r="C63" s="68" t="s">
        <v>25</v>
      </c>
      <c r="D63" s="69">
        <f t="shared" si="0"/>
        <v>0</v>
      </c>
    </row>
    <row r="64" spans="2:4" ht="15.75" thickBot="1" x14ac:dyDescent="0.3">
      <c r="C64" s="70"/>
      <c r="D64" s="71">
        <f t="shared" si="0"/>
        <v>0</v>
      </c>
    </row>
    <row r="65" spans="2:4" ht="15.75" thickBot="1" x14ac:dyDescent="0.3">
      <c r="D65" s="63"/>
    </row>
    <row r="66" spans="2:4" x14ac:dyDescent="0.25">
      <c r="B66" s="72" t="s">
        <v>83</v>
      </c>
      <c r="C66" s="66" t="s">
        <v>122</v>
      </c>
      <c r="D66" s="67">
        <f t="shared" si="0"/>
        <v>0</v>
      </c>
    </row>
    <row r="67" spans="2:4" ht="15.75" thickBot="1" x14ac:dyDescent="0.3">
      <c r="B67" s="73">
        <f>SUM(D66:D72)</f>
        <v>0</v>
      </c>
      <c r="C67" s="68" t="s">
        <v>95</v>
      </c>
      <c r="D67" s="69">
        <f t="shared" si="0"/>
        <v>0</v>
      </c>
    </row>
    <row r="68" spans="2:4" x14ac:dyDescent="0.25">
      <c r="C68" s="68" t="s">
        <v>96</v>
      </c>
      <c r="D68" s="69">
        <f t="shared" si="0"/>
        <v>0</v>
      </c>
    </row>
    <row r="69" spans="2:4" x14ac:dyDescent="0.25">
      <c r="C69" s="68" t="s">
        <v>123</v>
      </c>
      <c r="D69" s="69">
        <f t="shared" si="0"/>
        <v>0</v>
      </c>
    </row>
    <row r="70" spans="2:4" x14ac:dyDescent="0.25">
      <c r="C70" s="68" t="s">
        <v>98</v>
      </c>
      <c r="D70" s="69">
        <f t="shared" si="0"/>
        <v>0</v>
      </c>
    </row>
    <row r="71" spans="2:4" x14ac:dyDescent="0.25">
      <c r="C71" s="68" t="s">
        <v>99</v>
      </c>
      <c r="D71" s="69">
        <f t="shared" si="0"/>
        <v>0</v>
      </c>
    </row>
    <row r="72" spans="2:4" ht="15.75" thickBot="1" x14ac:dyDescent="0.3">
      <c r="C72" s="70"/>
      <c r="D72" s="71">
        <f t="shared" si="0"/>
        <v>0</v>
      </c>
    </row>
    <row r="73" spans="2:4" ht="15.75" thickBot="1" x14ac:dyDescent="0.3">
      <c r="D73" s="63"/>
    </row>
    <row r="74" spans="2:4" x14ac:dyDescent="0.25">
      <c r="B74" s="72" t="s">
        <v>84</v>
      </c>
      <c r="C74" s="66" t="s">
        <v>100</v>
      </c>
      <c r="D74" s="67">
        <f t="shared" si="0"/>
        <v>0</v>
      </c>
    </row>
    <row r="75" spans="2:4" ht="15.75" thickBot="1" x14ac:dyDescent="0.3">
      <c r="B75" s="73">
        <f>SUM(D74:D80)</f>
        <v>0</v>
      </c>
      <c r="C75" s="68" t="s">
        <v>101</v>
      </c>
      <c r="D75" s="69">
        <f t="shared" si="0"/>
        <v>0</v>
      </c>
    </row>
    <row r="76" spans="2:4" x14ac:dyDescent="0.25">
      <c r="C76" s="68" t="s">
        <v>103</v>
      </c>
      <c r="D76" s="69">
        <f t="shared" si="0"/>
        <v>0</v>
      </c>
    </row>
    <row r="77" spans="2:4" x14ac:dyDescent="0.25">
      <c r="C77" s="68" t="s">
        <v>105</v>
      </c>
      <c r="D77" s="69">
        <f t="shared" si="0"/>
        <v>0</v>
      </c>
    </row>
    <row r="78" spans="2:4" x14ac:dyDescent="0.25">
      <c r="C78" s="68"/>
      <c r="D78" s="69">
        <f t="shared" si="0"/>
        <v>0</v>
      </c>
    </row>
    <row r="79" spans="2:4" x14ac:dyDescent="0.25">
      <c r="C79" s="68"/>
      <c r="D79" s="69">
        <f t="shared" si="0"/>
        <v>0</v>
      </c>
    </row>
    <row r="80" spans="2:4" ht="15.75" thickBot="1" x14ac:dyDescent="0.3">
      <c r="C80" s="70"/>
      <c r="D80" s="71">
        <f t="shared" si="0"/>
        <v>0</v>
      </c>
    </row>
    <row r="81" spans="2:4" ht="15.75" thickBot="1" x14ac:dyDescent="0.3">
      <c r="D81" s="63"/>
    </row>
    <row r="82" spans="2:4" x14ac:dyDescent="0.25">
      <c r="B82" s="72" t="s">
        <v>45</v>
      </c>
      <c r="C82" s="66" t="s">
        <v>106</v>
      </c>
      <c r="D82" s="67">
        <f t="shared" si="0"/>
        <v>0</v>
      </c>
    </row>
    <row r="83" spans="2:4" ht="15.75" thickBot="1" x14ac:dyDescent="0.3">
      <c r="B83" s="73">
        <f>SUM(D82:D88)</f>
        <v>0</v>
      </c>
      <c r="C83" s="68" t="s">
        <v>107</v>
      </c>
      <c r="D83" s="69">
        <f>SUMIF($D$11:$D$32,C83,$F$11:$F$32)</f>
        <v>0</v>
      </c>
    </row>
    <row r="84" spans="2:4" x14ac:dyDescent="0.25">
      <c r="C84" s="68" t="s">
        <v>108</v>
      </c>
      <c r="D84" s="69">
        <f t="shared" si="0"/>
        <v>0</v>
      </c>
    </row>
    <row r="85" spans="2:4" x14ac:dyDescent="0.25">
      <c r="C85" s="68" t="s">
        <v>109</v>
      </c>
      <c r="D85" s="69">
        <f t="shared" si="0"/>
        <v>0</v>
      </c>
    </row>
    <row r="86" spans="2:4" x14ac:dyDescent="0.25">
      <c r="C86" s="68" t="s">
        <v>110</v>
      </c>
      <c r="D86" s="69">
        <f t="shared" si="0"/>
        <v>0</v>
      </c>
    </row>
    <row r="87" spans="2:4" x14ac:dyDescent="0.25">
      <c r="C87" s="68" t="s">
        <v>46</v>
      </c>
      <c r="D87" s="69">
        <f t="shared" si="0"/>
        <v>0</v>
      </c>
    </row>
    <row r="88" spans="2:4" ht="15.75" thickBot="1" x14ac:dyDescent="0.3">
      <c r="C88" s="70"/>
      <c r="D88" s="71">
        <f t="shared" si="0"/>
        <v>0</v>
      </c>
    </row>
  </sheetData>
  <mergeCells count="3">
    <mergeCell ref="H2:K2"/>
    <mergeCell ref="B9:F9"/>
    <mergeCell ref="H9:K9"/>
  </mergeCells>
  <dataValidations count="1">
    <dataValidation type="list" allowBlank="1" showInputMessage="1" showErrorMessage="1" sqref="D11:D32">
      <formula1>INDIRECT(C11)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Modelo!$P$3:$P$10</xm:f>
          </x14:formula1>
          <xm:sqref>C11:C32</xm:sqref>
        </x14:dataValidation>
        <x14:dataValidation type="list" allowBlank="1" showInputMessage="1" showErrorMessage="1">
          <x14:formula1>
            <xm:f>Modelo!$R$3:$R$14</xm:f>
          </x14:formula1>
          <xm:sqref>I11:I22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B1:O77"/>
  <sheetViews>
    <sheetView showGridLines="0" topLeftCell="A19" zoomScale="85" zoomScaleNormal="85" workbookViewId="0">
      <selection activeCell="N10" sqref="N10"/>
    </sheetView>
  </sheetViews>
  <sheetFormatPr defaultRowHeight="15" x14ac:dyDescent="0.25"/>
  <cols>
    <col min="1" max="1" width="3.140625" customWidth="1"/>
    <col min="2" max="2" width="15.28515625" style="40" bestFit="1" customWidth="1"/>
    <col min="3" max="3" width="13.5703125" style="48" customWidth="1"/>
    <col min="4" max="4" width="13.140625" style="48" bestFit="1" customWidth="1"/>
    <col min="5" max="6" width="12.7109375" style="48" customWidth="1"/>
    <col min="7" max="7" width="15.85546875" style="48" bestFit="1" customWidth="1"/>
    <col min="8" max="9" width="12.7109375" style="48" customWidth="1"/>
    <col min="10" max="13" width="13.140625" style="48" bestFit="1" customWidth="1"/>
    <col min="14" max="14" width="15.85546875" style="48" bestFit="1" customWidth="1"/>
    <col min="15" max="15" width="12.28515625" bestFit="1" customWidth="1"/>
    <col min="16" max="16" width="19.5703125" bestFit="1" customWidth="1"/>
    <col min="17" max="17" width="13.140625" bestFit="1" customWidth="1"/>
  </cols>
  <sheetData>
    <row r="1" spans="2:15" ht="14.25" customHeight="1" thickBot="1" x14ac:dyDescent="0.3"/>
    <row r="2" spans="2:15" ht="15.75" thickBot="1" x14ac:dyDescent="0.3">
      <c r="B2" s="52" t="s">
        <v>62</v>
      </c>
      <c r="C2" s="49" t="s">
        <v>63</v>
      </c>
      <c r="D2" s="50" t="s">
        <v>14</v>
      </c>
      <c r="E2" s="50" t="s">
        <v>64</v>
      </c>
      <c r="F2" s="50" t="s">
        <v>65</v>
      </c>
      <c r="G2" s="50" t="s">
        <v>66</v>
      </c>
      <c r="H2" s="50" t="s">
        <v>67</v>
      </c>
      <c r="I2" s="50" t="s">
        <v>68</v>
      </c>
      <c r="J2" s="50" t="s">
        <v>69</v>
      </c>
      <c r="K2" s="50" t="s">
        <v>70</v>
      </c>
      <c r="L2" s="50" t="s">
        <v>71</v>
      </c>
      <c r="M2" s="50" t="s">
        <v>72</v>
      </c>
      <c r="N2" s="51" t="s">
        <v>73</v>
      </c>
      <c r="O2" s="51" t="s">
        <v>137</v>
      </c>
    </row>
    <row r="3" spans="2:15" x14ac:dyDescent="0.25">
      <c r="B3" s="46" t="s">
        <v>74</v>
      </c>
      <c r="C3" s="42">
        <f>Jan!$F$3</f>
        <v>0</v>
      </c>
      <c r="D3" s="41">
        <f>Fev!$F$3</f>
        <v>0</v>
      </c>
      <c r="E3" s="41">
        <f>Mar!$F$3</f>
        <v>0</v>
      </c>
      <c r="F3" s="41">
        <f>Abr!$F$3</f>
        <v>0</v>
      </c>
      <c r="G3" s="41">
        <f>Mai!$F$3</f>
        <v>0</v>
      </c>
      <c r="H3" s="41">
        <f>Jun!$F$3</f>
        <v>0</v>
      </c>
      <c r="I3" s="41">
        <f>Jul!$F$3</f>
        <v>654</v>
      </c>
      <c r="J3" s="41">
        <f>Ago!$F$3</f>
        <v>785.52</v>
      </c>
      <c r="K3" s="41">
        <f>Set!$F$3</f>
        <v>797.89</v>
      </c>
      <c r="L3" s="41">
        <f>Out!$F$3</f>
        <v>336.7</v>
      </c>
      <c r="M3" s="41">
        <f>Nov!$F$3</f>
        <v>272.89999999999998</v>
      </c>
      <c r="N3" s="103">
        <f>Dez!$F$3</f>
        <v>766.59</v>
      </c>
      <c r="O3" s="103">
        <f>SUM(C3:N3)</f>
        <v>3613.6</v>
      </c>
    </row>
    <row r="4" spans="2:15" x14ac:dyDescent="0.25">
      <c r="B4" s="47" t="s">
        <v>75</v>
      </c>
      <c r="C4" s="43">
        <f>Jan!$F$4</f>
        <v>0</v>
      </c>
      <c r="D4" s="43">
        <f>Fev!$F$4</f>
        <v>0</v>
      </c>
      <c r="E4" s="43">
        <f>Mar!$F$4</f>
        <v>0</v>
      </c>
      <c r="F4" s="43">
        <f>Abr!$F$4</f>
        <v>0</v>
      </c>
      <c r="G4" s="43">
        <f>Mai!$F$4</f>
        <v>0</v>
      </c>
      <c r="H4" s="43">
        <f>Jun!$F$4</f>
        <v>0</v>
      </c>
      <c r="I4" s="43">
        <f>Jul!$F$4</f>
        <v>528</v>
      </c>
      <c r="J4" s="43">
        <f>Ago!$F$4</f>
        <v>427.15</v>
      </c>
      <c r="K4" s="43">
        <f>Set!$F$4</f>
        <v>177.39</v>
      </c>
      <c r="L4" s="43">
        <f>Out!$F$4</f>
        <v>63.8</v>
      </c>
      <c r="M4" s="43">
        <f>Nov!$F$4</f>
        <v>322.89999999999998</v>
      </c>
      <c r="N4" s="104">
        <f>Dez!$F$4</f>
        <v>152.46</v>
      </c>
      <c r="O4" s="104">
        <f t="shared" ref="O4:O8" si="0">SUM(C4:N4)</f>
        <v>1671.6999999999998</v>
      </c>
    </row>
    <row r="5" spans="2:15" x14ac:dyDescent="0.25">
      <c r="B5" s="47" t="s">
        <v>76</v>
      </c>
      <c r="C5" s="44">
        <f>Jan!$F$6</f>
        <v>0</v>
      </c>
      <c r="D5" s="44">
        <f>Fev!$F$6</f>
        <v>0</v>
      </c>
      <c r="E5" s="44">
        <f>Mar!$F$6</f>
        <v>0</v>
      </c>
      <c r="F5" s="44">
        <f>Abr!$F$6</f>
        <v>0</v>
      </c>
      <c r="G5" s="44">
        <f>Mai!$F$6</f>
        <v>0</v>
      </c>
      <c r="H5" s="44">
        <f>Jun!$F$6</f>
        <v>0</v>
      </c>
      <c r="I5" s="44">
        <f>Jul!$F$6</f>
        <v>0</v>
      </c>
      <c r="J5" s="44">
        <f>Ago!$F$6</f>
        <v>220</v>
      </c>
      <c r="K5" s="44">
        <f>Set!$F$6</f>
        <v>283.8</v>
      </c>
      <c r="L5" s="44">
        <f>Out!$F$6</f>
        <v>0</v>
      </c>
      <c r="M5" s="44">
        <f>Nov!$F$6</f>
        <v>0</v>
      </c>
      <c r="N5" s="105">
        <f>Dez!$F$6</f>
        <v>414.3</v>
      </c>
      <c r="O5" s="105">
        <f t="shared" si="0"/>
        <v>918.1</v>
      </c>
    </row>
    <row r="6" spans="2:15" x14ac:dyDescent="0.25">
      <c r="B6" s="47" t="s">
        <v>77</v>
      </c>
      <c r="C6" s="45">
        <f>C4+C5</f>
        <v>0</v>
      </c>
      <c r="D6" s="45">
        <f t="shared" ref="D6:N6" si="1">D4+D5</f>
        <v>0</v>
      </c>
      <c r="E6" s="45">
        <f t="shared" si="1"/>
        <v>0</v>
      </c>
      <c r="F6" s="45">
        <f t="shared" si="1"/>
        <v>0</v>
      </c>
      <c r="G6" s="45">
        <f t="shared" si="1"/>
        <v>0</v>
      </c>
      <c r="H6" s="45">
        <f t="shared" si="1"/>
        <v>0</v>
      </c>
      <c r="I6" s="45">
        <f t="shared" si="1"/>
        <v>528</v>
      </c>
      <c r="J6" s="45">
        <f t="shared" si="1"/>
        <v>647.15</v>
      </c>
      <c r="K6" s="45">
        <f t="shared" si="1"/>
        <v>461.19</v>
      </c>
      <c r="L6" s="45">
        <f t="shared" si="1"/>
        <v>63.8</v>
      </c>
      <c r="M6" s="45">
        <f t="shared" si="1"/>
        <v>322.89999999999998</v>
      </c>
      <c r="N6" s="106">
        <f t="shared" si="1"/>
        <v>566.76</v>
      </c>
      <c r="O6" s="106">
        <f t="shared" si="0"/>
        <v>2589.8000000000002</v>
      </c>
    </row>
    <row r="7" spans="2:15" x14ac:dyDescent="0.25">
      <c r="B7" s="47" t="s">
        <v>15</v>
      </c>
      <c r="C7" s="102">
        <f>C3-C6</f>
        <v>0</v>
      </c>
      <c r="D7" s="102">
        <f t="shared" ref="D7:N7" si="2">D3-D6</f>
        <v>0</v>
      </c>
      <c r="E7" s="102">
        <f t="shared" si="2"/>
        <v>0</v>
      </c>
      <c r="F7" s="102">
        <f t="shared" si="2"/>
        <v>0</v>
      </c>
      <c r="G7" s="102">
        <f t="shared" si="2"/>
        <v>0</v>
      </c>
      <c r="H7" s="102">
        <f t="shared" si="2"/>
        <v>0</v>
      </c>
      <c r="I7" s="102">
        <f t="shared" si="2"/>
        <v>126</v>
      </c>
      <c r="J7" s="102">
        <f t="shared" si="2"/>
        <v>138.37</v>
      </c>
      <c r="K7" s="102">
        <f t="shared" si="2"/>
        <v>336.7</v>
      </c>
      <c r="L7" s="102">
        <f t="shared" si="2"/>
        <v>272.89999999999998</v>
      </c>
      <c r="M7" s="102">
        <f t="shared" si="2"/>
        <v>-50</v>
      </c>
      <c r="N7" s="107">
        <f t="shared" si="2"/>
        <v>199.83000000000004</v>
      </c>
      <c r="O7" s="107">
        <f t="shared" si="0"/>
        <v>1023.8</v>
      </c>
    </row>
    <row r="8" spans="2:15" ht="15.75" thickBot="1" x14ac:dyDescent="0.3">
      <c r="B8" s="99" t="s">
        <v>128</v>
      </c>
      <c r="C8" s="100">
        <f>Jan!D4</f>
        <v>0</v>
      </c>
      <c r="D8" s="100">
        <f>Fev!D4</f>
        <v>0</v>
      </c>
      <c r="E8" s="100">
        <f>Mar!D4</f>
        <v>0</v>
      </c>
      <c r="F8" s="100">
        <f>Abr!D4</f>
        <v>0</v>
      </c>
      <c r="G8" s="100">
        <f>Mai!D4</f>
        <v>0</v>
      </c>
      <c r="H8" s="100">
        <f>Jun!D4</f>
        <v>0</v>
      </c>
      <c r="I8" s="100">
        <f>Jul!D4</f>
        <v>0</v>
      </c>
      <c r="J8" s="100">
        <f>Ago!D4</f>
        <v>0</v>
      </c>
      <c r="K8" s="100">
        <f>Set!D4</f>
        <v>0</v>
      </c>
      <c r="L8" s="100">
        <f>Out!D4</f>
        <v>0</v>
      </c>
      <c r="M8" s="100">
        <f>Nov!D4</f>
        <v>0</v>
      </c>
      <c r="N8" s="101">
        <f>Dez!D4</f>
        <v>0</v>
      </c>
      <c r="O8" s="101">
        <f t="shared" si="0"/>
        <v>0</v>
      </c>
    </row>
    <row r="12" spans="2:15" ht="15.75" thickBot="1" x14ac:dyDescent="0.3"/>
    <row r="13" spans="2:15" ht="15.75" thickBot="1" x14ac:dyDescent="0.3">
      <c r="B13" s="52" t="s">
        <v>62</v>
      </c>
      <c r="C13" s="49" t="s">
        <v>63</v>
      </c>
      <c r="D13" s="50" t="s">
        <v>14</v>
      </c>
      <c r="E13" s="50" t="s">
        <v>64</v>
      </c>
      <c r="F13" s="50" t="s">
        <v>65</v>
      </c>
      <c r="G13" s="50" t="s">
        <v>66</v>
      </c>
      <c r="H13" s="50" t="s">
        <v>67</v>
      </c>
      <c r="I13" s="50" t="s">
        <v>68</v>
      </c>
      <c r="J13" s="50" t="s">
        <v>69</v>
      </c>
      <c r="K13" s="50" t="s">
        <v>70</v>
      </c>
      <c r="L13" s="50" t="s">
        <v>71</v>
      </c>
      <c r="M13" s="50" t="s">
        <v>72</v>
      </c>
      <c r="N13" s="51" t="s">
        <v>73</v>
      </c>
      <c r="O13" s="51" t="s">
        <v>133</v>
      </c>
    </row>
    <row r="14" spans="2:15" x14ac:dyDescent="0.25">
      <c r="B14" s="109" t="s">
        <v>35</v>
      </c>
      <c r="C14" s="110">
        <f>Jan!$B$36</f>
        <v>0</v>
      </c>
      <c r="D14" s="111">
        <f>Fev!$B$36</f>
        <v>0</v>
      </c>
      <c r="E14" s="110">
        <f>Jan!$B$36</f>
        <v>0</v>
      </c>
      <c r="F14" s="111">
        <f>Jan!$B$36</f>
        <v>0</v>
      </c>
      <c r="G14" s="110">
        <f>Jan!$B$36</f>
        <v>0</v>
      </c>
      <c r="H14" s="111">
        <f>Jan!$B$36</f>
        <v>0</v>
      </c>
      <c r="I14" s="110">
        <f>Jan!$B$36</f>
        <v>0</v>
      </c>
      <c r="J14" s="111">
        <f>Jan!$B$36</f>
        <v>0</v>
      </c>
      <c r="K14" s="110">
        <f>Jan!$B$36</f>
        <v>0</v>
      </c>
      <c r="L14" s="111">
        <f>Jan!$B$36</f>
        <v>0</v>
      </c>
      <c r="M14" s="110">
        <f>Jan!$B$36</f>
        <v>0</v>
      </c>
      <c r="N14" s="112">
        <f>Jan!$B$36</f>
        <v>0</v>
      </c>
      <c r="O14" s="121">
        <f>SUM(C14:N14)</f>
        <v>0</v>
      </c>
    </row>
    <row r="15" spans="2:15" x14ac:dyDescent="0.25">
      <c r="B15" s="113" t="s">
        <v>21</v>
      </c>
      <c r="C15" s="114">
        <f>Fev!$B$42</f>
        <v>0</v>
      </c>
      <c r="D15" s="115">
        <f>Fev!$B$42</f>
        <v>0</v>
      </c>
      <c r="E15" s="114">
        <f>Fev!$B$42</f>
        <v>0</v>
      </c>
      <c r="F15" s="115">
        <f>Fev!$B$42</f>
        <v>0</v>
      </c>
      <c r="G15" s="114">
        <f>Fev!$B$42</f>
        <v>0</v>
      </c>
      <c r="H15" s="115">
        <f>Fev!$B$42</f>
        <v>0</v>
      </c>
      <c r="I15" s="114">
        <f>Fev!$B$42</f>
        <v>0</v>
      </c>
      <c r="J15" s="115">
        <f>Fev!$B$42</f>
        <v>0</v>
      </c>
      <c r="K15" s="114">
        <f>Fev!$B$42</f>
        <v>0</v>
      </c>
      <c r="L15" s="115">
        <f>Fev!$B$42</f>
        <v>0</v>
      </c>
      <c r="M15" s="114">
        <f>Fev!$B$42</f>
        <v>0</v>
      </c>
      <c r="N15" s="116">
        <f>Fev!$B$42</f>
        <v>0</v>
      </c>
      <c r="O15" s="122">
        <f t="shared" ref="O15:O20" si="3">SUM(C15:N15)</f>
        <v>0</v>
      </c>
    </row>
    <row r="16" spans="2:15" x14ac:dyDescent="0.25">
      <c r="B16" s="113" t="s">
        <v>27</v>
      </c>
      <c r="C16" s="114">
        <f>Jan!$B$51</f>
        <v>0</v>
      </c>
      <c r="D16" s="115">
        <f>Fev!B51</f>
        <v>0</v>
      </c>
      <c r="E16" s="114">
        <f>Jan!$B$51</f>
        <v>0</v>
      </c>
      <c r="F16" s="115">
        <f>Jan!$B$51</f>
        <v>0</v>
      </c>
      <c r="G16" s="114">
        <f>Jan!$B$51</f>
        <v>0</v>
      </c>
      <c r="H16" s="115">
        <f>Jan!$B$51</f>
        <v>0</v>
      </c>
      <c r="I16" s="114">
        <f>Jan!$B$51</f>
        <v>0</v>
      </c>
      <c r="J16" s="115">
        <f>Jan!$B$51</f>
        <v>0</v>
      </c>
      <c r="K16" s="114">
        <f>Jan!$B$51</f>
        <v>0</v>
      </c>
      <c r="L16" s="115">
        <f>Jan!$B$51</f>
        <v>0</v>
      </c>
      <c r="M16" s="114">
        <f>Jan!$B$51</f>
        <v>0</v>
      </c>
      <c r="N16" s="116">
        <f>Jan!$B$51</f>
        <v>0</v>
      </c>
      <c r="O16" s="122">
        <f t="shared" si="3"/>
        <v>0</v>
      </c>
    </row>
    <row r="17" spans="2:15" x14ac:dyDescent="0.25">
      <c r="B17" s="113" t="s">
        <v>24</v>
      </c>
      <c r="C17" s="114">
        <f>Jan!$B$59</f>
        <v>0</v>
      </c>
      <c r="D17" s="115">
        <f>Jan!$B$59</f>
        <v>0</v>
      </c>
      <c r="E17" s="114">
        <f>Jan!$B$59</f>
        <v>0</v>
      </c>
      <c r="F17" s="115">
        <f>Jan!$B$59</f>
        <v>0</v>
      </c>
      <c r="G17" s="114">
        <f>Jan!$B$59</f>
        <v>0</v>
      </c>
      <c r="H17" s="115">
        <f>Jan!$B$59</f>
        <v>0</v>
      </c>
      <c r="I17" s="114">
        <f>Jan!$B$59</f>
        <v>0</v>
      </c>
      <c r="J17" s="115">
        <f>Jan!$B$59</f>
        <v>0</v>
      </c>
      <c r="K17" s="114">
        <f>Jan!$B$59</f>
        <v>0</v>
      </c>
      <c r="L17" s="115">
        <f>Jan!$B$59</f>
        <v>0</v>
      </c>
      <c r="M17" s="114">
        <f>Jan!$B$59</f>
        <v>0</v>
      </c>
      <c r="N17" s="116">
        <f>Jan!$B$59</f>
        <v>0</v>
      </c>
      <c r="O17" s="122">
        <f t="shared" si="3"/>
        <v>0</v>
      </c>
    </row>
    <row r="18" spans="2:15" x14ac:dyDescent="0.25">
      <c r="B18" s="113" t="s">
        <v>83</v>
      </c>
      <c r="C18" s="114">
        <f>Jan!$B$67</f>
        <v>0</v>
      </c>
      <c r="D18" s="115">
        <f>Jan!$B$67</f>
        <v>0</v>
      </c>
      <c r="E18" s="114">
        <f>Jan!$B$67</f>
        <v>0</v>
      </c>
      <c r="F18" s="115">
        <f>Jan!$B$67</f>
        <v>0</v>
      </c>
      <c r="G18" s="114">
        <f>Jan!$B$67</f>
        <v>0</v>
      </c>
      <c r="H18" s="115">
        <f>Jan!$B$67</f>
        <v>0</v>
      </c>
      <c r="I18" s="114">
        <f>Jan!$B$67</f>
        <v>0</v>
      </c>
      <c r="J18" s="115">
        <f>Jan!$B$67</f>
        <v>0</v>
      </c>
      <c r="K18" s="114">
        <f>Jan!$B$67</f>
        <v>0</v>
      </c>
      <c r="L18" s="115">
        <f>Jan!$B$67</f>
        <v>0</v>
      </c>
      <c r="M18" s="114">
        <f>Jan!$B$67</f>
        <v>0</v>
      </c>
      <c r="N18" s="116">
        <f>Jan!$B$67</f>
        <v>0</v>
      </c>
      <c r="O18" s="122">
        <f t="shared" si="3"/>
        <v>0</v>
      </c>
    </row>
    <row r="19" spans="2:15" x14ac:dyDescent="0.25">
      <c r="B19" s="113" t="s">
        <v>84</v>
      </c>
      <c r="C19" s="114">
        <f>Jan!$B$75</f>
        <v>0</v>
      </c>
      <c r="D19" s="115">
        <f>Jan!$B$75</f>
        <v>0</v>
      </c>
      <c r="E19" s="114">
        <f>Jan!$B$75</f>
        <v>0</v>
      </c>
      <c r="F19" s="115">
        <f>Jan!$B$75</f>
        <v>0</v>
      </c>
      <c r="G19" s="114">
        <f>Jan!$B$75</f>
        <v>0</v>
      </c>
      <c r="H19" s="115">
        <f>Jan!$B$75</f>
        <v>0</v>
      </c>
      <c r="I19" s="114">
        <f>Jan!$B$75</f>
        <v>0</v>
      </c>
      <c r="J19" s="115">
        <f>Jan!$B$75</f>
        <v>0</v>
      </c>
      <c r="K19" s="114">
        <f>Jan!$B$75</f>
        <v>0</v>
      </c>
      <c r="L19" s="115">
        <f>Jan!$B$75</f>
        <v>0</v>
      </c>
      <c r="M19" s="114">
        <f>Jan!$B$75</f>
        <v>0</v>
      </c>
      <c r="N19" s="116">
        <f>Jan!$B$75</f>
        <v>0</v>
      </c>
      <c r="O19" s="122">
        <f t="shared" si="3"/>
        <v>0</v>
      </c>
    </row>
    <row r="20" spans="2:15" ht="15.75" thickBot="1" x14ac:dyDescent="0.3">
      <c r="B20" s="117" t="s">
        <v>45</v>
      </c>
      <c r="C20" s="118">
        <f>Jan!$B$83</f>
        <v>0</v>
      </c>
      <c r="D20" s="119">
        <f>Jan!$B$83</f>
        <v>0</v>
      </c>
      <c r="E20" s="118">
        <f>Jan!$B$83</f>
        <v>0</v>
      </c>
      <c r="F20" s="119">
        <f>Jan!$B$83</f>
        <v>0</v>
      </c>
      <c r="G20" s="118">
        <f>Jan!$B$83</f>
        <v>0</v>
      </c>
      <c r="H20" s="119">
        <f>Jan!$B$83</f>
        <v>0</v>
      </c>
      <c r="I20" s="118">
        <f>Jan!$B$83</f>
        <v>0</v>
      </c>
      <c r="J20" s="119">
        <f>Jan!$B$83</f>
        <v>0</v>
      </c>
      <c r="K20" s="118">
        <f>Jan!$B$83</f>
        <v>0</v>
      </c>
      <c r="L20" s="119">
        <f>Jan!$B$83</f>
        <v>0</v>
      </c>
      <c r="M20" s="118">
        <f>Jan!$B$83</f>
        <v>0</v>
      </c>
      <c r="N20" s="120">
        <f>Jan!$B$83</f>
        <v>0</v>
      </c>
      <c r="O20" s="123">
        <f t="shared" si="3"/>
        <v>0</v>
      </c>
    </row>
    <row r="23" spans="2:15" ht="15.75" thickBot="1" x14ac:dyDescent="0.3"/>
    <row r="24" spans="2:15" ht="15.75" thickBot="1" x14ac:dyDescent="0.3">
      <c r="B24" s="72" t="s">
        <v>35</v>
      </c>
      <c r="C24" s="66" t="s">
        <v>120</v>
      </c>
      <c r="D24" s="67">
        <f>SUBTOTAL(9,Fev!D35,Fev!D35,Mar!D35,Abr!D35,Mai!D35,Jun!D35,Jul!D35,Ago!D35,Set!D35,Out!D35,Nov!D35,Dez!D35)</f>
        <v>14.98</v>
      </c>
      <c r="F24"/>
      <c r="G24"/>
    </row>
    <row r="25" spans="2:15" ht="15.75" thickBot="1" x14ac:dyDescent="0.3">
      <c r="B25" s="73">
        <f>SUM(D24:D28)</f>
        <v>43.58</v>
      </c>
      <c r="C25" s="68" t="s">
        <v>80</v>
      </c>
      <c r="D25" s="69">
        <f>SUBTOTAL(9,Fev!D36,Fev!D36,Mar!D36,Abr!D36,Mai!D36,Jun!D36,Jul!D36,Ago!D36,Set!D36,Out!D36,Nov!D36,Dez!D36)</f>
        <v>0</v>
      </c>
      <c r="F25" s="78" t="s">
        <v>111</v>
      </c>
      <c r="G25" s="67">
        <f>SUBTOTAL(9,Jan!I35,Fev!I35,Mar!I35,Abr!I35,Mai!I35,Jun!I35,Jul!I35,Ago!I35,Set!I35,Out!I35,Nov!I35,Dez!I35)</f>
        <v>30</v>
      </c>
    </row>
    <row r="26" spans="2:15" x14ac:dyDescent="0.25">
      <c r="B26"/>
      <c r="C26" s="68" t="s">
        <v>81</v>
      </c>
      <c r="D26" s="69">
        <f>SUBTOTAL(9,Fev!D37,Fev!D37,Mar!D37,Abr!D37,Mai!D37,Jun!D37,Jul!D37,Ago!D37,Set!D37,Out!D37,Nov!D37,Dez!D37)</f>
        <v>0</v>
      </c>
      <c r="F26" s="79" t="s">
        <v>112</v>
      </c>
      <c r="G26" s="69">
        <f>SUBTOTAL(9,Jan!I36,Fev!I36,Mar!I36,Abr!I36,Mai!I36,Jun!I36,Jul!I36,Ago!I36,Set!I36,Out!I36,Nov!I36,Dez!I36)</f>
        <v>13.6</v>
      </c>
    </row>
    <row r="27" spans="2:15" x14ac:dyDescent="0.25">
      <c r="B27"/>
      <c r="C27" s="68" t="s">
        <v>36</v>
      </c>
      <c r="D27" s="69">
        <f>SUBTOTAL(9,Fev!D38,Fev!D38,Mar!D38,Abr!D38,Mai!D38,Jun!D38,Jul!D38,Ago!D38,Set!D38,Out!D38,Nov!D38,Dez!D38)</f>
        <v>28.6</v>
      </c>
      <c r="F27" s="79" t="s">
        <v>113</v>
      </c>
      <c r="G27" s="69">
        <f>SUBTOTAL(9,Jan!I37,Fev!I37,Mar!I37,Abr!I37,Mai!I37,Jun!I37,Jul!I37,Ago!I37,Set!I37,Out!I37,Nov!I37,Dez!I37)</f>
        <v>0</v>
      </c>
    </row>
    <row r="28" spans="2:15" x14ac:dyDescent="0.25">
      <c r="B28"/>
      <c r="C28" s="68"/>
      <c r="D28" s="69">
        <f>SUBTOTAL(9,Fev!D39,Fev!D39,Mar!D39,Abr!D39,Mai!D39,Jun!D39,Jul!D39,Ago!D39,Set!D39,Out!D39,Nov!D39,Dez!D39)</f>
        <v>0</v>
      </c>
      <c r="F28" s="79" t="s">
        <v>114</v>
      </c>
      <c r="G28" s="69">
        <f>SUBTOTAL(9,Jan!I38,Fev!I38,Mar!I38,Abr!I38,Mai!I38,Jun!I38,Jul!I38,Ago!I38,Set!I38,Out!I38,Nov!I38,Dez!I38)</f>
        <v>0</v>
      </c>
    </row>
    <row r="29" spans="2:15" ht="15.75" thickBot="1" x14ac:dyDescent="0.3">
      <c r="B29"/>
      <c r="C29" s="54"/>
      <c r="D29" s="54"/>
      <c r="F29" s="79" t="s">
        <v>115</v>
      </c>
      <c r="G29" s="69">
        <f>SUBTOTAL(9,Jan!I39,Fev!I39,Mar!I39,Abr!I39,Mai!I39,Jun!I39,Jul!I39,Ago!I39,Set!I39,Out!I39,Nov!I39,Dez!I39)</f>
        <v>30</v>
      </c>
    </row>
    <row r="30" spans="2:15" x14ac:dyDescent="0.25">
      <c r="B30" s="72" t="s">
        <v>21</v>
      </c>
      <c r="C30" s="66" t="s">
        <v>85</v>
      </c>
      <c r="D30" s="67">
        <f>SUBTOTAL(9,Fev!D41,Fev!D41,Mar!D41,Abr!D41,Mai!D41,Jun!D41,Jul!D41,Ago!D41,Set!D41,Out!D41,Nov!D41,Dez!D41)</f>
        <v>0</v>
      </c>
      <c r="F30" s="79" t="s">
        <v>116</v>
      </c>
      <c r="G30" s="69">
        <f>SUBTOTAL(9,Jan!I40,Fev!I40,Mar!I40,Abr!I40,Mai!I40,Jun!I40,Jul!I40,Ago!I40,Set!I40,Out!I40,Nov!I40,Dez!I40)</f>
        <v>0</v>
      </c>
    </row>
    <row r="31" spans="2:15" ht="15.75" thickBot="1" x14ac:dyDescent="0.3">
      <c r="B31" s="73">
        <f>SUM(D30:D37)</f>
        <v>148.13999999999999</v>
      </c>
      <c r="C31" s="68" t="s">
        <v>22</v>
      </c>
      <c r="D31" s="69">
        <f>SUBTOTAL(9,Fev!D42,Fev!D42,Mar!D42,Abr!D42,Mai!D42,Jun!D42,Jul!D42,Ago!D42,Set!D42,Out!D42,Nov!D42,Dez!D42)</f>
        <v>57</v>
      </c>
      <c r="F31" s="79" t="s">
        <v>117</v>
      </c>
      <c r="G31" s="69">
        <f>SUBTOTAL(9,Jan!I41,Fev!I41,Mar!I41,Abr!I41,Mai!I41,Jun!I41,Jul!I41,Ago!I41,Set!I41,Out!I41,Nov!I41,Dez!I41)</f>
        <v>0</v>
      </c>
    </row>
    <row r="32" spans="2:15" x14ac:dyDescent="0.25">
      <c r="B32"/>
      <c r="C32" s="68" t="s">
        <v>40</v>
      </c>
      <c r="D32" s="69">
        <f>SUBTOTAL(9,Fev!D43,Fev!D43,Mar!D43,Abr!D43,Mai!D43,Jun!D43,Jul!D43,Ago!D43,Set!D43,Out!D43,Nov!D43,Dez!D43)</f>
        <v>75</v>
      </c>
      <c r="F32" s="79" t="s">
        <v>118</v>
      </c>
      <c r="G32" s="69">
        <f>SUBTOTAL(9,Jan!I42,Fev!I42,Mar!I42,Abr!I42,Mai!I42,Jun!I42,Jul!I42,Ago!I42,Set!I42,Out!I42,Nov!I42,Dez!I42)</f>
        <v>624.5</v>
      </c>
    </row>
    <row r="33" spans="2:7" x14ac:dyDescent="0.25">
      <c r="B33"/>
      <c r="C33" s="68" t="s">
        <v>87</v>
      </c>
      <c r="D33" s="69">
        <f>SUBTOTAL(9,Fev!D44,Fev!D44,Mar!D44,Abr!D44,Mai!D44,Jun!D44,Jul!D44,Ago!D44,Set!D44,Out!D44,Nov!D44,Dez!D44)</f>
        <v>0</v>
      </c>
      <c r="F33" s="79" t="s">
        <v>84</v>
      </c>
      <c r="G33" s="69">
        <f>SUBTOTAL(9,Jan!I43,Fev!I43,Mar!I43,Abr!I43,Mai!I43,Jun!I43,Jul!I43,Ago!I43,Set!I43,Out!I43,Nov!I43,Dez!I43)</f>
        <v>0</v>
      </c>
    </row>
    <row r="34" spans="2:7" x14ac:dyDescent="0.25">
      <c r="B34"/>
      <c r="C34" s="68" t="s">
        <v>86</v>
      </c>
      <c r="D34" s="69">
        <f>SUBTOTAL(9,Fev!D45,Fev!D45,Mar!D45,Abr!D45,Mai!D45,Jun!D45,Jul!D45,Ago!D45,Set!D45,Out!D45,Nov!D45,Dez!D45)</f>
        <v>0</v>
      </c>
      <c r="F34" s="79" t="s">
        <v>119</v>
      </c>
      <c r="G34" s="69">
        <f>SUBTOTAL(9,Jan!I44,Fev!I44,Mar!I44,Abr!I44,Mai!I44,Jun!I44,Jul!I44,Ago!I44,Set!I44,Out!I44,Nov!I44,Dez!I44)</f>
        <v>0</v>
      </c>
    </row>
    <row r="35" spans="2:7" ht="15.75" thickBot="1" x14ac:dyDescent="0.3">
      <c r="B35"/>
      <c r="C35" s="68" t="s">
        <v>43</v>
      </c>
      <c r="D35" s="69">
        <f>SUBTOTAL(9,Fev!D46,Fev!D46,Mar!D46,Abr!D46,Mai!D46,Jun!D46,Jul!D46,Ago!D46,Set!D46,Out!D46,Nov!D46,Dez!D46)</f>
        <v>16.14</v>
      </c>
      <c r="F35" s="80"/>
      <c r="G35" s="71">
        <f>SUBTOTAL(9,Jan!I45,Fev!I45,Mar!I45,Abr!I45,Mai!I45,Jun!I45,Jul!I45,Ago!I45,Set!I45,Out!I45,Nov!I45,Dez!I45)</f>
        <v>0</v>
      </c>
    </row>
    <row r="36" spans="2:7" x14ac:dyDescent="0.25">
      <c r="B36"/>
      <c r="C36" s="74"/>
      <c r="D36" s="75">
        <f>SUBTOTAL(9,Fev!D47,Fev!D47,Mar!D47,Abr!D47,Mai!D47,Jun!D47,Jul!D47,Ago!D47,Set!D47,Out!D47,Nov!D47,Dez!D47)</f>
        <v>0</v>
      </c>
    </row>
    <row r="37" spans="2:7" ht="15.75" thickBot="1" x14ac:dyDescent="0.3">
      <c r="B37" s="81"/>
      <c r="C37" s="70"/>
      <c r="D37" s="71">
        <f>SUBTOTAL(9,Fev!D48,Fev!D48,Mar!D48,Abr!D48,Mai!D48,Jun!D48,Jul!D48,Ago!D48,Set!D48,Out!D48,Nov!D48,Dez!D48)</f>
        <v>0</v>
      </c>
    </row>
    <row r="38" spans="2:7" ht="15.75" thickBot="1" x14ac:dyDescent="0.3">
      <c r="B38"/>
      <c r="C38"/>
      <c r="D38"/>
    </row>
    <row r="39" spans="2:7" x14ac:dyDescent="0.25">
      <c r="B39" s="72" t="s">
        <v>27</v>
      </c>
      <c r="C39" s="66" t="s">
        <v>28</v>
      </c>
      <c r="D39" s="67">
        <f>SUBTOTAL(9,Fev!D50,Fev!D50,Mar!D50,Abr!D50,Mai!D50,Jun!D50,Jul!D50,Ago!D50,Set!D50,Out!D50,Nov!D50,Dez!D50)</f>
        <v>86</v>
      </c>
    </row>
    <row r="40" spans="2:7" ht="15.75" thickBot="1" x14ac:dyDescent="0.3">
      <c r="B40" s="73">
        <f>SUM(D39:D45)</f>
        <v>372.57</v>
      </c>
      <c r="C40" s="68" t="s">
        <v>88</v>
      </c>
      <c r="D40" s="69">
        <f>SUBTOTAL(9,Fev!D51,Fev!D51,Mar!D51,Abr!D51,Mai!D51,Jun!D51,Jul!D51,Ago!D51,Set!D51,Out!D51,Nov!D51,Dez!D51)</f>
        <v>0</v>
      </c>
    </row>
    <row r="41" spans="2:7" x14ac:dyDescent="0.25">
      <c r="B41"/>
      <c r="C41" s="68" t="s">
        <v>89</v>
      </c>
      <c r="D41" s="69">
        <f>SUBTOTAL(9,Fev!D52,Fev!D52,Mar!D52,Abr!D52,Mai!D52,Jun!D52,Jul!D52,Ago!D52,Set!D52,Out!D52,Nov!D52,Dez!D52)</f>
        <v>0</v>
      </c>
    </row>
    <row r="42" spans="2:7" x14ac:dyDescent="0.25">
      <c r="B42"/>
      <c r="C42" s="68" t="s">
        <v>51</v>
      </c>
      <c r="D42" s="69">
        <f>SUBTOTAL(9,Fev!D53,Fev!D53,Mar!D53,Abr!D53,Mai!D53,Jun!D53,Jul!D53,Ago!D53,Set!D53,Out!D53,Nov!D53,Dez!D53)</f>
        <v>200.27</v>
      </c>
    </row>
    <row r="43" spans="2:7" x14ac:dyDescent="0.25">
      <c r="B43"/>
      <c r="C43" s="68" t="s">
        <v>90</v>
      </c>
      <c r="D43" s="69">
        <f>SUBTOTAL(9,Fev!D54,Fev!D54,Mar!D54,Abr!D54,Mai!D54,Jun!D54,Jul!D54,Ago!D54,Set!D54,Out!D54,Nov!D54,Dez!D54)</f>
        <v>22.5</v>
      </c>
    </row>
    <row r="44" spans="2:7" x14ac:dyDescent="0.25">
      <c r="B44"/>
      <c r="C44" s="68" t="s">
        <v>58</v>
      </c>
      <c r="D44" s="69">
        <f>SUBTOTAL(9,Fev!D55,Fev!D55,Mar!D55,Abr!D55,Mai!D55,Jun!D55,Jul!D55,Ago!D55,Set!D55,Out!D55,Nov!D55,Dez!D55)</f>
        <v>63.8</v>
      </c>
    </row>
    <row r="45" spans="2:7" ht="15.75" thickBot="1" x14ac:dyDescent="0.3">
      <c r="B45"/>
      <c r="C45" s="70"/>
      <c r="D45" s="71">
        <f>SUBTOTAL(9,Fev!D56,Fev!D56,Mar!D56,Abr!D56,Mai!D56,Jun!D56,Jul!D56,Ago!D56,Set!D56,Out!D56,Nov!D56,Dez!D56)</f>
        <v>0</v>
      </c>
    </row>
    <row r="46" spans="2:7" ht="15.75" thickBot="1" x14ac:dyDescent="0.3">
      <c r="B46"/>
      <c r="C46"/>
      <c r="D46"/>
    </row>
    <row r="47" spans="2:7" x14ac:dyDescent="0.25">
      <c r="B47" s="72" t="s">
        <v>24</v>
      </c>
      <c r="C47" s="66" t="s">
        <v>121</v>
      </c>
      <c r="D47" s="67">
        <f>SUBTOTAL(9,Fev!D58,Fev!D58,Mar!D58,Abr!D58,Mai!D58,Jun!D58,Jul!D58,Ago!D58,Set!D58,Out!D58,Nov!D58,Dez!D58)</f>
        <v>0</v>
      </c>
    </row>
    <row r="48" spans="2:7" ht="15.75" thickBot="1" x14ac:dyDescent="0.3">
      <c r="B48" s="73">
        <f>SUM(D47:D53)</f>
        <v>514.51</v>
      </c>
      <c r="C48" s="68" t="s">
        <v>32</v>
      </c>
      <c r="D48" s="69">
        <f>SUBTOTAL(9,Fev!D59,Fev!D59,Mar!D59,Abr!D59,Mai!D59,Jun!D59,Jul!D59,Ago!D59,Set!D59,Out!D59,Nov!D59,Dez!D59)</f>
        <v>54.51</v>
      </c>
    </row>
    <row r="49" spans="2:4" x14ac:dyDescent="0.25">
      <c r="B49"/>
      <c r="C49" s="68" t="s">
        <v>91</v>
      </c>
      <c r="D49" s="69">
        <f>SUBTOTAL(9,Fev!D60,Fev!D60,Mar!D60,Abr!D60,Mai!D60,Jun!D60,Jul!D60,Ago!D60,Set!D60,Out!D60,Nov!D60,Dez!D60)</f>
        <v>0</v>
      </c>
    </row>
    <row r="50" spans="2:4" x14ac:dyDescent="0.25">
      <c r="B50"/>
      <c r="C50" s="68" t="s">
        <v>92</v>
      </c>
      <c r="D50" s="69">
        <f>SUBTOTAL(9,Fev!D61,Fev!D61,Mar!D61,Abr!D61,Mai!D61,Jun!D61,Jul!D61,Ago!D61,Set!D61,Out!D61,Nov!D61,Dez!D61)</f>
        <v>0</v>
      </c>
    </row>
    <row r="51" spans="2:4" x14ac:dyDescent="0.25">
      <c r="B51"/>
      <c r="C51" s="68" t="s">
        <v>93</v>
      </c>
      <c r="D51" s="69">
        <f>SUBTOTAL(9,Fev!D62,Fev!D62,Mar!D62,Abr!D62,Mai!D62,Jun!D62,Jul!D62,Ago!D62,Set!D62,Out!D62,Nov!D62,Dez!D62)</f>
        <v>0</v>
      </c>
    </row>
    <row r="52" spans="2:4" x14ac:dyDescent="0.25">
      <c r="B52"/>
      <c r="C52" s="68" t="s">
        <v>25</v>
      </c>
      <c r="D52" s="69">
        <f>SUBTOTAL(9,Fev!D63,Fev!D63,Mar!D63,Abr!D63,Mai!D63,Jun!D63,Jul!D63,Ago!D63,Set!D63,Out!D63,Nov!D63,Dez!D63)</f>
        <v>460</v>
      </c>
    </row>
    <row r="53" spans="2:4" ht="15.75" thickBot="1" x14ac:dyDescent="0.3">
      <c r="B53"/>
      <c r="C53" s="70"/>
      <c r="D53" s="71">
        <f>SUBTOTAL(9,Fev!D64,Fev!D64,Mar!D64,Abr!D64,Mai!D64,Jun!D64,Jul!D64,Ago!D64,Set!D64,Out!D64,Nov!D64,Dez!D64)</f>
        <v>0</v>
      </c>
    </row>
    <row r="54" spans="2:4" ht="15.75" thickBot="1" x14ac:dyDescent="0.3">
      <c r="B54"/>
      <c r="C54"/>
      <c r="D54"/>
    </row>
    <row r="55" spans="2:4" x14ac:dyDescent="0.25">
      <c r="B55" s="72" t="s">
        <v>83</v>
      </c>
      <c r="C55" s="66" t="s">
        <v>122</v>
      </c>
      <c r="D55" s="67">
        <f>SUBTOTAL(9,Fev!D66,Fev!D66,Mar!D66,Abr!D66,Mai!D66,Jun!D66,Jul!D66,Ago!D66,Set!D66,Out!D66,Nov!D66,Dez!D66)</f>
        <v>0</v>
      </c>
    </row>
    <row r="56" spans="2:4" ht="15.75" thickBot="1" x14ac:dyDescent="0.3">
      <c r="B56" s="73">
        <f>SUM(D55:D61)</f>
        <v>0</v>
      </c>
      <c r="C56" s="68" t="s">
        <v>95</v>
      </c>
      <c r="D56" s="69">
        <f>SUBTOTAL(9,Fev!D67,Fev!D67,Mar!D67,Abr!D67,Mai!D67,Jun!D67,Jul!D67,Ago!D67,Set!D67,Out!D67,Nov!D67,Dez!D67)</f>
        <v>0</v>
      </c>
    </row>
    <row r="57" spans="2:4" x14ac:dyDescent="0.25">
      <c r="B57"/>
      <c r="C57" s="68" t="s">
        <v>96</v>
      </c>
      <c r="D57" s="69">
        <f>SUBTOTAL(9,Fev!D68,Fev!D68,Mar!D68,Abr!D68,Mai!D68,Jun!D68,Jul!D68,Ago!D68,Set!D68,Out!D68,Nov!D68,Dez!D68)</f>
        <v>0</v>
      </c>
    </row>
    <row r="58" spans="2:4" x14ac:dyDescent="0.25">
      <c r="B58"/>
      <c r="C58" s="68" t="s">
        <v>123</v>
      </c>
      <c r="D58" s="69">
        <f>SUBTOTAL(9,Fev!D69,Fev!D69,Mar!D69,Abr!D69,Mai!D69,Jun!D69,Jul!D69,Ago!D69,Set!D69,Out!D69,Nov!D69,Dez!D69)</f>
        <v>0</v>
      </c>
    </row>
    <row r="59" spans="2:4" x14ac:dyDescent="0.25">
      <c r="B59"/>
      <c r="C59" s="68" t="s">
        <v>98</v>
      </c>
      <c r="D59" s="69">
        <f>SUBTOTAL(9,Fev!D70,Fev!D70,Mar!D70,Abr!D70,Mai!D70,Jun!D70,Jul!D70,Ago!D70,Set!D70,Out!D70,Nov!D70,Dez!D70)</f>
        <v>0</v>
      </c>
    </row>
    <row r="60" spans="2:4" x14ac:dyDescent="0.25">
      <c r="B60"/>
      <c r="C60" s="68" t="s">
        <v>99</v>
      </c>
      <c r="D60" s="69">
        <f>SUBTOTAL(9,Fev!D71,Fev!D71,Mar!D71,Abr!D71,Mai!D71,Jun!D71,Jul!D71,Ago!D71,Set!D71,Out!D71,Nov!D71,Dez!D71)</f>
        <v>0</v>
      </c>
    </row>
    <row r="61" spans="2:4" ht="15.75" thickBot="1" x14ac:dyDescent="0.3">
      <c r="B61"/>
      <c r="C61" s="70"/>
      <c r="D61" s="71">
        <f>SUBTOTAL(9,Fev!D72,Fev!D72,Mar!D72,Abr!D72,Mai!D72,Jun!D72,Jul!D72,Ago!D72,Set!D72,Out!D72,Nov!D72,Dez!D72)</f>
        <v>0</v>
      </c>
    </row>
    <row r="62" spans="2:4" ht="15.75" thickBot="1" x14ac:dyDescent="0.3">
      <c r="B62"/>
      <c r="C62"/>
    </row>
    <row r="63" spans="2:4" x14ac:dyDescent="0.25">
      <c r="B63" s="72" t="s">
        <v>84</v>
      </c>
      <c r="C63" s="66" t="s">
        <v>100</v>
      </c>
      <c r="D63" s="67">
        <f>SUBTOTAL(9,Fev!D74,Fev!D74,Mar!D74,Abr!D74,Mai!D74,Jun!D74,Jul!D74,Ago!D74,Set!D74,Out!D74,Nov!D74,Dez!D74)</f>
        <v>0</v>
      </c>
    </row>
    <row r="64" spans="2:4" ht="15.75" thickBot="1" x14ac:dyDescent="0.3">
      <c r="B64" s="73">
        <f>SUM(D63:D69)</f>
        <v>0</v>
      </c>
      <c r="C64" s="68" t="s">
        <v>101</v>
      </c>
      <c r="D64" s="69">
        <f>SUBTOTAL(9,Fev!D75,Fev!D75,Mar!D75,Abr!D75,Mai!D75,Jun!D75,Jul!D75,Ago!D75,Set!D75,Out!D75,Nov!D75,Dez!D75)</f>
        <v>0</v>
      </c>
    </row>
    <row r="65" spans="2:4" x14ac:dyDescent="0.25">
      <c r="B65"/>
      <c r="C65" s="68" t="s">
        <v>103</v>
      </c>
      <c r="D65" s="69">
        <f>SUBTOTAL(9,Fev!D76,Fev!D76,Mar!D76,Abr!D76,Mai!D76,Jun!D76,Jul!D76,Ago!D76,Set!D76,Out!D76,Nov!D76,Dez!D76)</f>
        <v>0</v>
      </c>
    </row>
    <row r="66" spans="2:4" x14ac:dyDescent="0.25">
      <c r="B66"/>
      <c r="C66" s="68" t="s">
        <v>105</v>
      </c>
      <c r="D66" s="69">
        <f>SUBTOTAL(9,Fev!D77,Fev!D77,Mar!D77,Abr!D77,Mai!D77,Jun!D77,Jul!D77,Ago!D77,Set!D77,Out!D77,Nov!D77,Dez!D77)</f>
        <v>0</v>
      </c>
    </row>
    <row r="67" spans="2:4" x14ac:dyDescent="0.25">
      <c r="B67"/>
      <c r="C67" s="68"/>
      <c r="D67" s="69">
        <f>SUBTOTAL(9,Fev!D78,Fev!D78,Mar!D78,Abr!D78,Mai!D78,Jun!D78,Jul!D78,Ago!D78,Set!D78,Out!D78,Nov!D78,Dez!D78)</f>
        <v>0</v>
      </c>
    </row>
    <row r="68" spans="2:4" x14ac:dyDescent="0.25">
      <c r="B68"/>
      <c r="C68" s="68"/>
      <c r="D68" s="69">
        <f>SUBTOTAL(9,Fev!D79,Fev!D79,Mar!D79,Abr!D79,Mai!D79,Jun!D79,Jul!D79,Ago!D79,Set!D79,Out!D79,Nov!D79,Dez!D79)</f>
        <v>0</v>
      </c>
    </row>
    <row r="69" spans="2:4" ht="15.75" thickBot="1" x14ac:dyDescent="0.3">
      <c r="B69"/>
      <c r="C69" s="70"/>
      <c r="D69" s="71">
        <f>SUBTOTAL(9,Fev!D80,Fev!D80,Mar!D80,Abr!D80,Mai!D80,Jun!D80,Jul!D80,Ago!D80,Set!D80,Out!D80,Nov!D80,Dez!D80)</f>
        <v>0</v>
      </c>
    </row>
    <row r="70" spans="2:4" ht="15.75" thickBot="1" x14ac:dyDescent="0.3">
      <c r="B70"/>
      <c r="C70"/>
    </row>
    <row r="71" spans="2:4" x14ac:dyDescent="0.25">
      <c r="B71" s="72" t="s">
        <v>45</v>
      </c>
      <c r="C71" s="66" t="s">
        <v>106</v>
      </c>
      <c r="D71" s="67">
        <f>SUBTOTAL(9,Fev!D82,Fev!D82,Mar!D82,Abr!D82,Mai!D82,Jun!D82,Jul!D82,Ago!D82,Set!D82,Out!D82,Nov!D82,Dez!D82)</f>
        <v>0</v>
      </c>
    </row>
    <row r="72" spans="2:4" ht="15.75" thickBot="1" x14ac:dyDescent="0.3">
      <c r="B72" s="73">
        <f>SUM(D71:D77)</f>
        <v>270</v>
      </c>
      <c r="C72" s="68" t="s">
        <v>107</v>
      </c>
      <c r="D72" s="69">
        <f>SUBTOTAL(9,Fev!D83,Fev!D83,Mar!D83,Abr!D83,Mai!D83,Jun!D83,Jul!D83,Ago!D83,Set!D83,Out!D83,Nov!D83,Dez!D83)</f>
        <v>0</v>
      </c>
    </row>
    <row r="73" spans="2:4" x14ac:dyDescent="0.25">
      <c r="B73"/>
      <c r="C73" s="68" t="s">
        <v>108</v>
      </c>
      <c r="D73" s="69">
        <f>SUBTOTAL(9,Fev!D84,Fev!D84,Mar!D84,Abr!D84,Mai!D84,Jun!D84,Jul!D84,Ago!D84,Set!D84,Out!D84,Nov!D84,Dez!D84)</f>
        <v>0</v>
      </c>
    </row>
    <row r="74" spans="2:4" x14ac:dyDescent="0.25">
      <c r="B74"/>
      <c r="C74" s="68" t="s">
        <v>109</v>
      </c>
      <c r="D74" s="69">
        <f>SUBTOTAL(9,Fev!D85,Fev!D85,Mar!D85,Abr!D85,Mai!D85,Jun!D85,Jul!D85,Ago!D85,Set!D85,Out!D85,Nov!D85,Dez!D85)</f>
        <v>0</v>
      </c>
    </row>
    <row r="75" spans="2:4" x14ac:dyDescent="0.25">
      <c r="B75"/>
      <c r="C75" s="68" t="s">
        <v>110</v>
      </c>
      <c r="D75" s="69">
        <f>SUBTOTAL(9,Fev!D86,Fev!D86,Mar!D86,Abr!D86,Mai!D86,Jun!D86,Jul!D86,Ago!D86,Set!D86,Out!D86,Nov!D86,Dez!D86)</f>
        <v>0</v>
      </c>
    </row>
    <row r="76" spans="2:4" x14ac:dyDescent="0.25">
      <c r="B76"/>
      <c r="C76" s="68" t="s">
        <v>46</v>
      </c>
      <c r="D76" s="69">
        <f>SUBTOTAL(9,Fev!D87,Fev!D87,Mar!D87,Abr!D87,Mai!D87,Jun!D87,Jul!D87,Ago!D87,Set!D87,Out!D87,Nov!D87,Dez!D87)</f>
        <v>270</v>
      </c>
    </row>
    <row r="77" spans="2:4" ht="15.75" thickBot="1" x14ac:dyDescent="0.3">
      <c r="B77"/>
      <c r="C77" s="70"/>
      <c r="D77" s="71">
        <f>SUBTOTAL(9,Fev!D88,Fev!D88,Mar!D88,Abr!D88,Mai!D88,Jun!D88,Jul!D88,Ago!D88,Set!D88,Out!D88,Nov!D88,Dez!D88)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88"/>
  <sheetViews>
    <sheetView showGridLines="0" topLeftCell="B1" zoomScaleNormal="100" workbookViewId="0">
      <selection activeCell="H2" sqref="H2"/>
    </sheetView>
  </sheetViews>
  <sheetFormatPr defaultRowHeight="15" x14ac:dyDescent="0.25"/>
  <cols>
    <col min="1" max="1" width="3" customWidth="1"/>
    <col min="2" max="2" width="12.7109375" bestFit="1" customWidth="1"/>
    <col min="3" max="3" width="34.85546875" customWidth="1"/>
    <col min="4" max="4" width="12.140625" style="63" bestFit="1" customWidth="1"/>
    <col min="5" max="5" width="9.28515625" bestFit="1" customWidth="1"/>
    <col min="6" max="6" width="13.7109375" customWidth="1"/>
    <col min="7" max="7" width="2.5703125" customWidth="1"/>
    <col min="8" max="8" width="11.85546875" customWidth="1"/>
    <col min="9" max="9" width="13.7109375" bestFit="1" customWidth="1"/>
    <col min="10" max="11" width="11.85546875" customWidth="1"/>
    <col min="13" max="13" width="17.42578125" bestFit="1" customWidth="1"/>
    <col min="14" max="14" width="50.85546875" bestFit="1" customWidth="1"/>
    <col min="16" max="16" width="19.5703125" customWidth="1"/>
    <col min="18" max="18" width="19.42578125" bestFit="1" customWidth="1"/>
  </cols>
  <sheetData>
    <row r="1" spans="2:18" ht="15.75" thickBot="1" x14ac:dyDescent="0.3">
      <c r="D1"/>
    </row>
    <row r="2" spans="2:18" ht="15.75" thickBot="1" x14ac:dyDescent="0.3">
      <c r="B2" s="11" t="s">
        <v>125</v>
      </c>
      <c r="C2" s="83" t="s">
        <v>1</v>
      </c>
      <c r="D2" s="31" t="s">
        <v>2</v>
      </c>
      <c r="E2" s="85"/>
      <c r="F2" s="5" t="s">
        <v>3</v>
      </c>
      <c r="G2" s="86"/>
      <c r="H2" s="85"/>
      <c r="J2" s="82"/>
    </row>
    <row r="3" spans="2:18" x14ac:dyDescent="0.25">
      <c r="B3" s="10" t="s">
        <v>4</v>
      </c>
      <c r="C3" s="84"/>
      <c r="D3" s="26"/>
      <c r="E3" s="85"/>
      <c r="F3" s="38">
        <f>SUM(D3:D7)</f>
        <v>0</v>
      </c>
      <c r="G3" s="86"/>
      <c r="H3" s="85"/>
      <c r="M3" s="53" t="s">
        <v>78</v>
      </c>
      <c r="N3" s="53" t="s">
        <v>79</v>
      </c>
      <c r="P3" s="57" t="s">
        <v>35</v>
      </c>
      <c r="R3" s="56" t="s">
        <v>111</v>
      </c>
    </row>
    <row r="4" spans="2:18" x14ac:dyDescent="0.25">
      <c r="B4" s="6" t="s">
        <v>128</v>
      </c>
      <c r="C4" s="7"/>
      <c r="D4" s="27"/>
      <c r="F4" s="37">
        <f>SUM(F11:F32)</f>
        <v>0</v>
      </c>
      <c r="M4" s="57" t="str">
        <f>P3</f>
        <v>Alimentação</v>
      </c>
      <c r="N4" s="55" t="s">
        <v>120</v>
      </c>
      <c r="P4" s="57" t="s">
        <v>21</v>
      </c>
      <c r="R4" s="56" t="s">
        <v>112</v>
      </c>
    </row>
    <row r="5" spans="2:18" x14ac:dyDescent="0.25">
      <c r="B5" s="24" t="s">
        <v>6</v>
      </c>
      <c r="C5" s="25"/>
      <c r="D5" s="27"/>
      <c r="F5" s="98">
        <f>D4</f>
        <v>0</v>
      </c>
      <c r="N5" s="55" t="s">
        <v>80</v>
      </c>
      <c r="P5" s="57" t="s">
        <v>27</v>
      </c>
      <c r="R5" s="56" t="s">
        <v>113</v>
      </c>
    </row>
    <row r="6" spans="2:18" x14ac:dyDescent="0.25">
      <c r="B6" s="24"/>
      <c r="C6" s="25"/>
      <c r="D6" s="27"/>
      <c r="F6" s="36">
        <f>SUM(K11:K22)</f>
        <v>0</v>
      </c>
      <c r="N6" s="55" t="s">
        <v>81</v>
      </c>
      <c r="P6" s="57" t="s">
        <v>82</v>
      </c>
      <c r="R6" s="56" t="s">
        <v>114</v>
      </c>
    </row>
    <row r="7" spans="2:18" ht="15.75" thickBot="1" x14ac:dyDescent="0.3">
      <c r="B7" s="8" t="s">
        <v>127</v>
      </c>
      <c r="C7" s="9"/>
      <c r="D7" s="28" t="s">
        <v>126</v>
      </c>
      <c r="F7" s="39">
        <f>F3-F4-F6</f>
        <v>0</v>
      </c>
      <c r="N7" s="55" t="s">
        <v>36</v>
      </c>
      <c r="P7" s="57" t="s">
        <v>24</v>
      </c>
      <c r="R7" s="56" t="s">
        <v>115</v>
      </c>
    </row>
    <row r="8" spans="2:18" ht="15.75" thickBot="1" x14ac:dyDescent="0.3">
      <c r="D8"/>
      <c r="N8" s="55"/>
      <c r="P8" s="57" t="s">
        <v>83</v>
      </c>
      <c r="R8" s="56" t="s">
        <v>116</v>
      </c>
    </row>
    <row r="9" spans="2:18" ht="15.75" thickBot="1" x14ac:dyDescent="0.3">
      <c r="B9" s="124" t="s">
        <v>8</v>
      </c>
      <c r="C9" s="125"/>
      <c r="D9" s="125"/>
      <c r="E9" s="125"/>
      <c r="F9" s="126"/>
      <c r="H9" s="127" t="s">
        <v>9</v>
      </c>
      <c r="I9" s="127"/>
      <c r="J9" s="127"/>
      <c r="K9" s="127"/>
      <c r="N9" s="54"/>
      <c r="P9" s="57" t="s">
        <v>84</v>
      </c>
      <c r="R9" s="56" t="s">
        <v>117</v>
      </c>
    </row>
    <row r="10" spans="2:18" ht="15.75" thickBot="1" x14ac:dyDescent="0.3">
      <c r="B10" s="5" t="s">
        <v>5</v>
      </c>
      <c r="C10" s="5" t="s">
        <v>10</v>
      </c>
      <c r="D10" s="5" t="s">
        <v>11</v>
      </c>
      <c r="E10" s="5" t="s">
        <v>12</v>
      </c>
      <c r="F10" s="5" t="s">
        <v>2</v>
      </c>
      <c r="H10" s="5" t="s">
        <v>5</v>
      </c>
      <c r="I10" s="5" t="s">
        <v>13</v>
      </c>
      <c r="J10" s="5" t="s">
        <v>11</v>
      </c>
      <c r="K10" s="5" t="s">
        <v>2</v>
      </c>
      <c r="M10" s="57" t="str">
        <f>P4</f>
        <v>Lazer</v>
      </c>
      <c r="N10" s="55" t="s">
        <v>85</v>
      </c>
      <c r="P10" s="57" t="s">
        <v>45</v>
      </c>
      <c r="R10" s="56" t="s">
        <v>118</v>
      </c>
    </row>
    <row r="11" spans="2:18" x14ac:dyDescent="0.25">
      <c r="B11" s="21"/>
      <c r="C11" s="16"/>
      <c r="D11" s="16"/>
      <c r="E11" s="16"/>
      <c r="F11" s="33"/>
      <c r="H11" s="18"/>
      <c r="I11" s="13"/>
      <c r="J11" s="13"/>
      <c r="K11" s="12"/>
      <c r="N11" s="55" t="s">
        <v>22</v>
      </c>
      <c r="R11" s="56" t="s">
        <v>84</v>
      </c>
    </row>
    <row r="12" spans="2:18" x14ac:dyDescent="0.25">
      <c r="B12" s="22"/>
      <c r="C12" s="7"/>
      <c r="D12" s="7"/>
      <c r="E12" s="7"/>
      <c r="F12" s="34"/>
      <c r="H12" s="19"/>
      <c r="I12" s="1"/>
      <c r="J12" s="1"/>
      <c r="K12" s="2"/>
      <c r="N12" s="55" t="s">
        <v>40</v>
      </c>
      <c r="R12" s="56" t="s">
        <v>119</v>
      </c>
    </row>
    <row r="13" spans="2:18" x14ac:dyDescent="0.25">
      <c r="B13" s="22"/>
      <c r="C13" s="7"/>
      <c r="D13" s="7"/>
      <c r="E13" s="7"/>
      <c r="F13" s="34"/>
      <c r="H13" s="19"/>
      <c r="I13" s="1"/>
      <c r="J13" s="1"/>
      <c r="K13" s="2"/>
      <c r="N13" s="55" t="s">
        <v>86</v>
      </c>
      <c r="R13" s="56"/>
    </row>
    <row r="14" spans="2:18" x14ac:dyDescent="0.25">
      <c r="B14" s="22"/>
      <c r="C14" s="7"/>
      <c r="D14" s="7"/>
      <c r="E14" s="7"/>
      <c r="F14" s="34"/>
      <c r="H14" s="19"/>
      <c r="I14" s="1"/>
      <c r="J14" s="1"/>
      <c r="K14" s="2"/>
      <c r="N14" s="55" t="s">
        <v>43</v>
      </c>
    </row>
    <row r="15" spans="2:18" x14ac:dyDescent="0.25">
      <c r="B15" s="22"/>
      <c r="C15" s="7"/>
      <c r="D15" s="7"/>
      <c r="E15" s="7"/>
      <c r="F15" s="34"/>
      <c r="H15" s="19"/>
      <c r="I15" s="1"/>
      <c r="J15" s="1"/>
      <c r="K15" s="2"/>
      <c r="N15" s="55" t="s">
        <v>87</v>
      </c>
    </row>
    <row r="16" spans="2:18" x14ac:dyDescent="0.25">
      <c r="B16" s="22"/>
      <c r="C16" s="7"/>
      <c r="D16" s="7"/>
      <c r="E16" s="7"/>
      <c r="F16" s="34"/>
      <c r="H16" s="19"/>
      <c r="I16" s="1"/>
      <c r="J16" s="1"/>
      <c r="K16" s="2"/>
      <c r="N16" s="56"/>
    </row>
    <row r="17" spans="2:14" x14ac:dyDescent="0.25">
      <c r="B17" s="22"/>
      <c r="C17" s="7"/>
      <c r="D17" s="7"/>
      <c r="E17" s="7"/>
      <c r="F17" s="34"/>
      <c r="H17" s="19"/>
      <c r="I17" s="1"/>
      <c r="J17" s="1"/>
      <c r="K17" s="2"/>
      <c r="N17" s="56"/>
    </row>
    <row r="18" spans="2:14" x14ac:dyDescent="0.25">
      <c r="B18" s="22"/>
      <c r="C18" s="7"/>
      <c r="D18" s="7"/>
      <c r="E18" s="7"/>
      <c r="F18" s="34"/>
      <c r="H18" s="19"/>
      <c r="I18" s="1"/>
      <c r="J18" s="1"/>
      <c r="K18" s="2"/>
    </row>
    <row r="19" spans="2:14" x14ac:dyDescent="0.25">
      <c r="B19" s="22"/>
      <c r="C19" s="7"/>
      <c r="D19" s="7"/>
      <c r="E19" s="7"/>
      <c r="F19" s="34"/>
      <c r="H19" s="19"/>
      <c r="I19" s="1"/>
      <c r="J19" s="1"/>
      <c r="K19" s="2"/>
      <c r="M19" s="57" t="str">
        <f>P5</f>
        <v>Despesas</v>
      </c>
      <c r="N19" s="55" t="s">
        <v>28</v>
      </c>
    </row>
    <row r="20" spans="2:14" x14ac:dyDescent="0.25">
      <c r="B20" s="22"/>
      <c r="C20" s="7"/>
      <c r="D20" s="7"/>
      <c r="E20" s="7"/>
      <c r="F20" s="34"/>
      <c r="H20" s="19"/>
      <c r="I20" s="1"/>
      <c r="J20" s="1"/>
      <c r="K20" s="2"/>
      <c r="N20" s="55" t="s">
        <v>88</v>
      </c>
    </row>
    <row r="21" spans="2:14" x14ac:dyDescent="0.25">
      <c r="B21" s="22"/>
      <c r="C21" s="7"/>
      <c r="D21" s="7"/>
      <c r="E21" s="7"/>
      <c r="F21" s="34"/>
      <c r="H21" s="19"/>
      <c r="I21" s="1"/>
      <c r="J21" s="1"/>
      <c r="K21" s="2"/>
      <c r="N21" s="55" t="s">
        <v>89</v>
      </c>
    </row>
    <row r="22" spans="2:14" ht="15.75" thickBot="1" x14ac:dyDescent="0.3">
      <c r="B22" s="22"/>
      <c r="C22" s="7"/>
      <c r="D22" s="7"/>
      <c r="E22" s="7"/>
      <c r="F22" s="34"/>
      <c r="H22" s="20"/>
      <c r="I22" s="3"/>
      <c r="J22" s="3"/>
      <c r="K22" s="4"/>
      <c r="N22" s="55" t="s">
        <v>51</v>
      </c>
    </row>
    <row r="23" spans="2:14" x14ac:dyDescent="0.25">
      <c r="B23" s="22"/>
      <c r="C23" s="7"/>
      <c r="D23" s="7"/>
      <c r="E23" s="7"/>
      <c r="F23" s="34"/>
      <c r="N23" s="55" t="s">
        <v>90</v>
      </c>
    </row>
    <row r="24" spans="2:14" x14ac:dyDescent="0.25">
      <c r="B24" s="22"/>
      <c r="C24" s="7"/>
      <c r="D24" s="7"/>
      <c r="E24" s="7"/>
      <c r="F24" s="34"/>
      <c r="N24" s="55" t="s">
        <v>58</v>
      </c>
    </row>
    <row r="25" spans="2:14" x14ac:dyDescent="0.25">
      <c r="B25" s="22"/>
      <c r="C25" s="7"/>
      <c r="D25" s="7"/>
      <c r="E25" s="7"/>
      <c r="F25" s="34"/>
      <c r="N25" s="56"/>
    </row>
    <row r="26" spans="2:14" x14ac:dyDescent="0.25">
      <c r="B26" s="22"/>
      <c r="C26" s="7"/>
      <c r="D26" s="7"/>
      <c r="E26" s="7"/>
      <c r="F26" s="34"/>
    </row>
    <row r="27" spans="2:14" x14ac:dyDescent="0.25">
      <c r="B27" s="22"/>
      <c r="C27" s="7"/>
      <c r="D27" s="7"/>
      <c r="E27" s="7"/>
      <c r="F27" s="34"/>
    </row>
    <row r="28" spans="2:14" x14ac:dyDescent="0.25">
      <c r="B28" s="22"/>
      <c r="C28" s="7"/>
      <c r="D28" s="7"/>
      <c r="E28" s="7"/>
      <c r="F28" s="34"/>
    </row>
    <row r="29" spans="2:14" x14ac:dyDescent="0.25">
      <c r="B29" s="22"/>
      <c r="C29" s="7"/>
      <c r="D29" s="7"/>
      <c r="E29" s="7"/>
      <c r="F29" s="34"/>
      <c r="M29" s="57" t="str">
        <f>P7</f>
        <v>Transporte</v>
      </c>
      <c r="N29" s="55" t="s">
        <v>124</v>
      </c>
    </row>
    <row r="30" spans="2:14" x14ac:dyDescent="0.25">
      <c r="B30" s="22"/>
      <c r="C30" s="7"/>
      <c r="D30" s="7"/>
      <c r="E30" s="7"/>
      <c r="F30" s="34"/>
      <c r="N30" s="55" t="s">
        <v>32</v>
      </c>
    </row>
    <row r="31" spans="2:14" x14ac:dyDescent="0.25">
      <c r="B31" s="22"/>
      <c r="C31" s="7"/>
      <c r="D31" s="7"/>
      <c r="E31" s="7"/>
      <c r="F31" s="34"/>
      <c r="N31" s="55" t="s">
        <v>91</v>
      </c>
    </row>
    <row r="32" spans="2:14" ht="15.75" thickBot="1" x14ac:dyDescent="0.3">
      <c r="B32" s="23"/>
      <c r="C32" s="9"/>
      <c r="D32" s="9"/>
      <c r="E32" s="9"/>
      <c r="F32" s="35"/>
      <c r="N32" s="55" t="s">
        <v>92</v>
      </c>
    </row>
    <row r="33" spans="2:14" x14ac:dyDescent="0.25">
      <c r="D33"/>
      <c r="N33" s="55" t="s">
        <v>93</v>
      </c>
    </row>
    <row r="34" spans="2:14" x14ac:dyDescent="0.25">
      <c r="D34"/>
      <c r="N34" s="55" t="s">
        <v>25</v>
      </c>
    </row>
    <row r="35" spans="2:14" ht="15.75" thickBot="1" x14ac:dyDescent="0.3">
      <c r="B35" s="57" t="s">
        <v>35</v>
      </c>
      <c r="C35" s="55" t="s">
        <v>120</v>
      </c>
      <c r="D35" s="64">
        <f>SUMIF($D$11:$D$32,C35,$F$11:$F$32)</f>
        <v>0</v>
      </c>
      <c r="N35" s="56"/>
    </row>
    <row r="36" spans="2:14" ht="15.75" thickBot="1" x14ac:dyDescent="0.3">
      <c r="B36" s="65">
        <f>SUBTOTAL(9,D35:D39)</f>
        <v>0</v>
      </c>
      <c r="C36" s="55" t="s">
        <v>80</v>
      </c>
      <c r="D36" s="64">
        <f t="shared" ref="D36:D88" si="0">SUMIF($D$11:$D$32,C36,$F$11:$F$32)</f>
        <v>0</v>
      </c>
      <c r="H36" s="91" t="s">
        <v>129</v>
      </c>
      <c r="I36" s="92" t="s">
        <v>130</v>
      </c>
      <c r="J36" s="93" t="s">
        <v>131</v>
      </c>
      <c r="K36" s="94" t="s">
        <v>74</v>
      </c>
    </row>
    <row r="37" spans="2:14" x14ac:dyDescent="0.25">
      <c r="C37" s="55" t="s">
        <v>81</v>
      </c>
      <c r="D37" s="64">
        <f t="shared" si="0"/>
        <v>0</v>
      </c>
      <c r="H37" s="89"/>
      <c r="I37" s="95"/>
      <c r="J37" s="90"/>
      <c r="K37" s="60"/>
      <c r="M37" s="57" t="str">
        <f>P8</f>
        <v>Educação</v>
      </c>
      <c r="N37" s="59" t="s">
        <v>94</v>
      </c>
    </row>
    <row r="38" spans="2:14" x14ac:dyDescent="0.25">
      <c r="C38" s="55" t="s">
        <v>36</v>
      </c>
      <c r="D38" s="64">
        <f t="shared" si="0"/>
        <v>0</v>
      </c>
      <c r="H38" s="77"/>
      <c r="I38" s="96"/>
      <c r="J38" s="87"/>
      <c r="K38" s="61"/>
      <c r="N38" s="59" t="s">
        <v>95</v>
      </c>
    </row>
    <row r="39" spans="2:14" x14ac:dyDescent="0.25">
      <c r="C39" s="55"/>
      <c r="D39" s="64">
        <f t="shared" si="0"/>
        <v>0</v>
      </c>
      <c r="H39" s="77"/>
      <c r="I39" s="96"/>
      <c r="J39" s="87"/>
      <c r="K39" s="61"/>
      <c r="N39" s="59" t="s">
        <v>96</v>
      </c>
    </row>
    <row r="40" spans="2:14" x14ac:dyDescent="0.25">
      <c r="C40" s="54"/>
      <c r="H40" s="77"/>
      <c r="I40" s="96"/>
      <c r="J40" s="87"/>
      <c r="K40" s="61"/>
      <c r="N40" s="59" t="s">
        <v>97</v>
      </c>
    </row>
    <row r="41" spans="2:14" x14ac:dyDescent="0.25">
      <c r="B41" s="57" t="s">
        <v>21</v>
      </c>
      <c r="C41" s="55" t="s">
        <v>85</v>
      </c>
      <c r="D41" s="64">
        <f t="shared" si="0"/>
        <v>0</v>
      </c>
      <c r="H41" s="77"/>
      <c r="I41" s="96"/>
      <c r="J41" s="87"/>
      <c r="K41" s="61"/>
      <c r="N41" s="59" t="s">
        <v>98</v>
      </c>
    </row>
    <row r="42" spans="2:14" x14ac:dyDescent="0.25">
      <c r="B42" s="65">
        <f>SUBTOTAL(9,D41:D48)</f>
        <v>0</v>
      </c>
      <c r="C42" s="55" t="s">
        <v>22</v>
      </c>
      <c r="D42" s="64">
        <f t="shared" si="0"/>
        <v>0</v>
      </c>
      <c r="H42" s="77"/>
      <c r="I42" s="96"/>
      <c r="J42" s="87"/>
      <c r="K42" s="61"/>
      <c r="N42" s="59" t="s">
        <v>99</v>
      </c>
    </row>
    <row r="43" spans="2:14" x14ac:dyDescent="0.25">
      <c r="C43" s="55" t="s">
        <v>40</v>
      </c>
      <c r="D43" s="64">
        <f t="shared" si="0"/>
        <v>0</v>
      </c>
      <c r="H43" s="77"/>
      <c r="I43" s="96"/>
      <c r="J43" s="87"/>
      <c r="K43" s="61"/>
      <c r="N43" s="58"/>
    </row>
    <row r="44" spans="2:14" x14ac:dyDescent="0.25">
      <c r="C44" s="55" t="s">
        <v>87</v>
      </c>
      <c r="D44" s="64">
        <f t="shared" si="0"/>
        <v>0</v>
      </c>
      <c r="H44" s="77"/>
      <c r="I44" s="96"/>
      <c r="J44" s="87"/>
      <c r="K44" s="61"/>
    </row>
    <row r="45" spans="2:14" x14ac:dyDescent="0.25">
      <c r="C45" s="55" t="s">
        <v>86</v>
      </c>
      <c r="D45" s="64">
        <f t="shared" si="0"/>
        <v>0</v>
      </c>
      <c r="H45" s="77"/>
      <c r="I45" s="96"/>
      <c r="J45" s="87"/>
      <c r="K45" s="61"/>
      <c r="M45" s="57" t="str">
        <f>P9</f>
        <v>Saúde</v>
      </c>
      <c r="N45" s="55" t="s">
        <v>100</v>
      </c>
    </row>
    <row r="46" spans="2:14" x14ac:dyDescent="0.25">
      <c r="C46" s="55" t="s">
        <v>43</v>
      </c>
      <c r="D46" s="64">
        <f t="shared" si="0"/>
        <v>0</v>
      </c>
      <c r="H46" s="77"/>
      <c r="I46" s="96"/>
      <c r="J46" s="87"/>
      <c r="K46" s="61"/>
      <c r="N46" s="55" t="s">
        <v>101</v>
      </c>
    </row>
    <row r="47" spans="2:14" x14ac:dyDescent="0.25">
      <c r="C47" s="56"/>
      <c r="D47" s="64">
        <f t="shared" si="0"/>
        <v>0</v>
      </c>
      <c r="H47" s="77"/>
      <c r="I47" s="96"/>
      <c r="J47" s="87"/>
      <c r="K47" s="61"/>
      <c r="N47" s="55" t="s">
        <v>102</v>
      </c>
    </row>
    <row r="48" spans="2:14" x14ac:dyDescent="0.25">
      <c r="C48" s="56"/>
      <c r="D48" s="64">
        <f t="shared" si="0"/>
        <v>0</v>
      </c>
      <c r="H48" s="77"/>
      <c r="I48" s="96"/>
      <c r="J48" s="87"/>
      <c r="K48" s="61"/>
      <c r="N48" s="55" t="s">
        <v>103</v>
      </c>
    </row>
    <row r="49" spans="2:14" x14ac:dyDescent="0.25">
      <c r="H49" s="77"/>
      <c r="I49" s="96"/>
      <c r="J49" s="87"/>
      <c r="K49" s="61"/>
      <c r="N49" s="55" t="s">
        <v>104</v>
      </c>
    </row>
    <row r="50" spans="2:14" x14ac:dyDescent="0.25">
      <c r="B50" s="57" t="s">
        <v>27</v>
      </c>
      <c r="C50" s="55" t="s">
        <v>28</v>
      </c>
      <c r="D50" s="64">
        <f t="shared" si="0"/>
        <v>0</v>
      </c>
      <c r="H50" s="77"/>
      <c r="I50" s="96"/>
      <c r="J50" s="87"/>
      <c r="K50" s="61"/>
      <c r="N50" s="55" t="s">
        <v>105</v>
      </c>
    </row>
    <row r="51" spans="2:14" x14ac:dyDescent="0.25">
      <c r="B51" s="65">
        <f>SUBTOTAL(9,D50:D56)</f>
        <v>0</v>
      </c>
      <c r="C51" s="55" t="s">
        <v>88</v>
      </c>
      <c r="D51" s="64">
        <f t="shared" si="0"/>
        <v>0</v>
      </c>
      <c r="H51" s="77"/>
      <c r="I51" s="96"/>
      <c r="J51" s="87"/>
      <c r="K51" s="61"/>
      <c r="N51" s="56"/>
    </row>
    <row r="52" spans="2:14" ht="15.75" thickBot="1" x14ac:dyDescent="0.3">
      <c r="C52" s="55" t="s">
        <v>89</v>
      </c>
      <c r="D52" s="64">
        <f t="shared" si="0"/>
        <v>0</v>
      </c>
      <c r="H52" s="70"/>
      <c r="I52" s="97"/>
      <c r="J52" s="88"/>
      <c r="K52" s="62"/>
    </row>
    <row r="53" spans="2:14" x14ac:dyDescent="0.25">
      <c r="C53" s="55" t="s">
        <v>51</v>
      </c>
      <c r="D53" s="64">
        <f t="shared" si="0"/>
        <v>0</v>
      </c>
      <c r="M53" s="57" t="str">
        <f>P10</f>
        <v>Imprevistos</v>
      </c>
      <c r="N53" s="55" t="s">
        <v>106</v>
      </c>
    </row>
    <row r="54" spans="2:14" x14ac:dyDescent="0.25">
      <c r="C54" s="55" t="s">
        <v>90</v>
      </c>
      <c r="D54" s="64">
        <f t="shared" si="0"/>
        <v>0</v>
      </c>
      <c r="N54" s="55" t="s">
        <v>107</v>
      </c>
    </row>
    <row r="55" spans="2:14" x14ac:dyDescent="0.25">
      <c r="C55" s="55" t="s">
        <v>58</v>
      </c>
      <c r="D55" s="64">
        <f t="shared" si="0"/>
        <v>0</v>
      </c>
      <c r="N55" s="55" t="s">
        <v>108</v>
      </c>
    </row>
    <row r="56" spans="2:14" x14ac:dyDescent="0.25">
      <c r="C56" s="56"/>
      <c r="D56" s="64">
        <f t="shared" si="0"/>
        <v>0</v>
      </c>
      <c r="N56" s="55" t="s">
        <v>109</v>
      </c>
    </row>
    <row r="57" spans="2:14" x14ac:dyDescent="0.25">
      <c r="N57" s="55" t="s">
        <v>110</v>
      </c>
    </row>
    <row r="58" spans="2:14" x14ac:dyDescent="0.25">
      <c r="B58" s="57" t="s">
        <v>24</v>
      </c>
      <c r="C58" s="55" t="s">
        <v>121</v>
      </c>
      <c r="D58" s="64">
        <f t="shared" si="0"/>
        <v>0</v>
      </c>
      <c r="N58" s="55" t="s">
        <v>46</v>
      </c>
    </row>
    <row r="59" spans="2:14" x14ac:dyDescent="0.25">
      <c r="B59" s="65">
        <f>SUBTOTAL(9,D58:D64)</f>
        <v>0</v>
      </c>
      <c r="C59" s="55" t="s">
        <v>32</v>
      </c>
      <c r="D59" s="64">
        <f t="shared" si="0"/>
        <v>0</v>
      </c>
      <c r="N59" s="56"/>
    </row>
    <row r="60" spans="2:14" x14ac:dyDescent="0.25">
      <c r="C60" s="55" t="s">
        <v>91</v>
      </c>
      <c r="D60" s="64">
        <f t="shared" si="0"/>
        <v>0</v>
      </c>
    </row>
    <row r="61" spans="2:14" x14ac:dyDescent="0.25">
      <c r="C61" s="55" t="s">
        <v>92</v>
      </c>
      <c r="D61" s="64">
        <f t="shared" si="0"/>
        <v>0</v>
      </c>
    </row>
    <row r="62" spans="2:14" x14ac:dyDescent="0.25">
      <c r="C62" s="55" t="s">
        <v>93</v>
      </c>
      <c r="D62" s="64">
        <f t="shared" si="0"/>
        <v>0</v>
      </c>
    </row>
    <row r="63" spans="2:14" x14ac:dyDescent="0.25">
      <c r="C63" s="55" t="s">
        <v>25</v>
      </c>
      <c r="D63" s="64">
        <f t="shared" si="0"/>
        <v>0</v>
      </c>
    </row>
    <row r="64" spans="2:14" x14ac:dyDescent="0.25">
      <c r="C64" s="56"/>
      <c r="D64" s="64">
        <f t="shared" si="0"/>
        <v>0</v>
      </c>
    </row>
    <row r="66" spans="2:4" x14ac:dyDescent="0.25">
      <c r="B66" s="57" t="s">
        <v>83</v>
      </c>
      <c r="C66" s="59" t="s">
        <v>122</v>
      </c>
      <c r="D66" s="64">
        <f t="shared" si="0"/>
        <v>0</v>
      </c>
    </row>
    <row r="67" spans="2:4" x14ac:dyDescent="0.25">
      <c r="B67" s="65">
        <f>SUBTOTAL(9,D66:D72)</f>
        <v>0</v>
      </c>
      <c r="C67" s="59" t="s">
        <v>95</v>
      </c>
      <c r="D67" s="64">
        <f t="shared" si="0"/>
        <v>0</v>
      </c>
    </row>
    <row r="68" spans="2:4" x14ac:dyDescent="0.25">
      <c r="C68" s="59" t="s">
        <v>96</v>
      </c>
      <c r="D68" s="64">
        <f t="shared" si="0"/>
        <v>0</v>
      </c>
    </row>
    <row r="69" spans="2:4" x14ac:dyDescent="0.25">
      <c r="C69" s="59" t="s">
        <v>123</v>
      </c>
      <c r="D69" s="64">
        <f t="shared" si="0"/>
        <v>0</v>
      </c>
    </row>
    <row r="70" spans="2:4" x14ac:dyDescent="0.25">
      <c r="C70" s="59" t="s">
        <v>98</v>
      </c>
      <c r="D70" s="64">
        <f t="shared" si="0"/>
        <v>0</v>
      </c>
    </row>
    <row r="71" spans="2:4" x14ac:dyDescent="0.25">
      <c r="C71" s="59" t="s">
        <v>99</v>
      </c>
      <c r="D71" s="64">
        <f t="shared" si="0"/>
        <v>0</v>
      </c>
    </row>
    <row r="72" spans="2:4" x14ac:dyDescent="0.25">
      <c r="C72" s="58"/>
      <c r="D72" s="64">
        <f t="shared" si="0"/>
        <v>0</v>
      </c>
    </row>
    <row r="74" spans="2:4" x14ac:dyDescent="0.25">
      <c r="B74" s="57" t="s">
        <v>84</v>
      </c>
      <c r="C74" s="55" t="s">
        <v>100</v>
      </c>
      <c r="D74" s="64">
        <f t="shared" si="0"/>
        <v>0</v>
      </c>
    </row>
    <row r="75" spans="2:4" x14ac:dyDescent="0.25">
      <c r="B75" s="65">
        <f>SUBTOTAL(9,D74:D80)</f>
        <v>0</v>
      </c>
      <c r="C75" s="55" t="s">
        <v>101</v>
      </c>
      <c r="D75" s="64">
        <f t="shared" si="0"/>
        <v>0</v>
      </c>
    </row>
    <row r="76" spans="2:4" x14ac:dyDescent="0.25">
      <c r="C76" s="55" t="s">
        <v>103</v>
      </c>
      <c r="D76" s="64">
        <f t="shared" si="0"/>
        <v>0</v>
      </c>
    </row>
    <row r="77" spans="2:4" x14ac:dyDescent="0.25">
      <c r="C77" s="55" t="s">
        <v>105</v>
      </c>
      <c r="D77" s="64">
        <f t="shared" si="0"/>
        <v>0</v>
      </c>
    </row>
    <row r="78" spans="2:4" x14ac:dyDescent="0.25">
      <c r="C78" s="56"/>
      <c r="D78" s="64">
        <f t="shared" si="0"/>
        <v>0</v>
      </c>
    </row>
    <row r="79" spans="2:4" x14ac:dyDescent="0.25">
      <c r="C79" s="56"/>
      <c r="D79" s="64">
        <f t="shared" si="0"/>
        <v>0</v>
      </c>
    </row>
    <row r="80" spans="2:4" x14ac:dyDescent="0.25">
      <c r="C80" s="56"/>
      <c r="D80" s="64">
        <f t="shared" si="0"/>
        <v>0</v>
      </c>
    </row>
    <row r="82" spans="2:4" x14ac:dyDescent="0.25">
      <c r="B82" s="57" t="s">
        <v>45</v>
      </c>
      <c r="C82" s="55" t="s">
        <v>106</v>
      </c>
      <c r="D82" s="64">
        <f t="shared" si="0"/>
        <v>0</v>
      </c>
    </row>
    <row r="83" spans="2:4" x14ac:dyDescent="0.25">
      <c r="B83" s="65">
        <f>SUBTOTAL(9,D82:D88)</f>
        <v>0</v>
      </c>
      <c r="C83" s="55" t="s">
        <v>107</v>
      </c>
      <c r="D83" s="64">
        <f>SUMIF($D$11:$D$32,C83,$F$11:$F$32)</f>
        <v>0</v>
      </c>
    </row>
    <row r="84" spans="2:4" x14ac:dyDescent="0.25">
      <c r="C84" s="55" t="s">
        <v>108</v>
      </c>
      <c r="D84" s="64">
        <f t="shared" si="0"/>
        <v>0</v>
      </c>
    </row>
    <row r="85" spans="2:4" x14ac:dyDescent="0.25">
      <c r="C85" s="55" t="s">
        <v>109</v>
      </c>
      <c r="D85" s="64">
        <f t="shared" si="0"/>
        <v>0</v>
      </c>
    </row>
    <row r="86" spans="2:4" x14ac:dyDescent="0.25">
      <c r="C86" s="55" t="s">
        <v>110</v>
      </c>
      <c r="D86" s="64">
        <f t="shared" si="0"/>
        <v>0</v>
      </c>
    </row>
    <row r="87" spans="2:4" x14ac:dyDescent="0.25">
      <c r="C87" s="55" t="s">
        <v>46</v>
      </c>
      <c r="D87" s="64">
        <f t="shared" si="0"/>
        <v>0</v>
      </c>
    </row>
    <row r="88" spans="2:4" x14ac:dyDescent="0.25">
      <c r="C88" s="56"/>
      <c r="D88" s="64">
        <f t="shared" si="0"/>
        <v>0</v>
      </c>
    </row>
  </sheetData>
  <mergeCells count="2">
    <mergeCell ref="B9:F9"/>
    <mergeCell ref="H9:K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14</vt:i4>
      </vt:variant>
      <vt:variant>
        <vt:lpstr>Gráficos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23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Anual</vt:lpstr>
      <vt:lpstr>Modelo</vt:lpstr>
      <vt:lpstr>Gastos Fixos anual</vt:lpstr>
      <vt:lpstr>Fluxo mensal</vt:lpstr>
      <vt:lpstr>Alimentação</vt:lpstr>
      <vt:lpstr>Despesas</vt:lpstr>
      <vt:lpstr>Educação</vt:lpstr>
      <vt:lpstr>Imprevistos</vt:lpstr>
      <vt:lpstr>Lazer</vt:lpstr>
      <vt:lpstr>Saúde</vt:lpstr>
      <vt:lpstr>Transporte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55319</dc:creator>
  <cp:keywords/>
  <dc:description/>
  <cp:lastModifiedBy>55319</cp:lastModifiedBy>
  <cp:revision/>
  <dcterms:created xsi:type="dcterms:W3CDTF">2025-07-09T15:01:32Z</dcterms:created>
  <dcterms:modified xsi:type="dcterms:W3CDTF">2025-12-11T15:01:03Z</dcterms:modified>
  <cp:category/>
  <cp:contentStatus/>
</cp:coreProperties>
</file>