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1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0" l="1"/>
  <c r="D16" i="3"/>
  <c r="D14" i="3"/>
  <c r="D15" i="3"/>
  <c r="D17" i="3"/>
  <c r="D18" i="3"/>
  <c r="D19" i="3"/>
  <c r="D20" i="3"/>
  <c r="O18" i="3"/>
  <c r="E15" i="3"/>
  <c r="F15" i="3"/>
  <c r="G15" i="3"/>
  <c r="H15" i="3"/>
  <c r="I15" i="3"/>
  <c r="J15" i="3"/>
  <c r="K15" i="3"/>
  <c r="L15" i="3"/>
  <c r="M15" i="3"/>
  <c r="N15" i="3"/>
  <c r="C15" i="3"/>
  <c r="E14" i="3"/>
  <c r="F14" i="3"/>
  <c r="G14" i="3"/>
  <c r="H14" i="3"/>
  <c r="I14" i="3"/>
  <c r="J14" i="3"/>
  <c r="K14" i="3"/>
  <c r="L14" i="3"/>
  <c r="M14" i="3"/>
  <c r="N14" i="3"/>
  <c r="E16" i="3"/>
  <c r="F16" i="3"/>
  <c r="O16" i="3" s="1"/>
  <c r="G16" i="3"/>
  <c r="H16" i="3"/>
  <c r="I16" i="3"/>
  <c r="J16" i="3"/>
  <c r="K16" i="3"/>
  <c r="L16" i="3"/>
  <c r="M16" i="3"/>
  <c r="N16" i="3"/>
  <c r="E17" i="3"/>
  <c r="F17" i="3"/>
  <c r="G17" i="3"/>
  <c r="H17" i="3"/>
  <c r="I17" i="3"/>
  <c r="J17" i="3"/>
  <c r="K17" i="3"/>
  <c r="L17" i="3"/>
  <c r="M17" i="3"/>
  <c r="N17" i="3"/>
  <c r="E18" i="3"/>
  <c r="F18" i="3"/>
  <c r="G18" i="3"/>
  <c r="H18" i="3"/>
  <c r="I18" i="3"/>
  <c r="J18" i="3"/>
  <c r="K18" i="3"/>
  <c r="L18" i="3"/>
  <c r="M18" i="3"/>
  <c r="N18" i="3"/>
  <c r="E19" i="3"/>
  <c r="F19" i="3"/>
  <c r="G19" i="3"/>
  <c r="H19" i="3"/>
  <c r="I19" i="3"/>
  <c r="J19" i="3"/>
  <c r="K19" i="3"/>
  <c r="L19" i="3"/>
  <c r="M19" i="3"/>
  <c r="N19" i="3"/>
  <c r="E20" i="3"/>
  <c r="F20" i="3"/>
  <c r="G20" i="3"/>
  <c r="H20" i="3"/>
  <c r="I20" i="3"/>
  <c r="J20" i="3"/>
  <c r="K20" i="3"/>
  <c r="L20" i="3"/>
  <c r="M20" i="3"/>
  <c r="N20" i="3"/>
  <c r="C20" i="3"/>
  <c r="C19" i="3"/>
  <c r="C18" i="3"/>
  <c r="C17" i="3"/>
  <c r="C16" i="3"/>
  <c r="C14" i="3"/>
  <c r="O17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O19" i="3" l="1"/>
  <c r="O20" i="3"/>
  <c r="O14" i="3"/>
  <c r="O15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76" i="3" s="1"/>
  <c r="D86" i="10"/>
  <c r="D75" i="3" s="1"/>
  <c r="D85" i="10"/>
  <c r="D74" i="3" s="1"/>
  <c r="D84" i="10"/>
  <c r="D83" i="10"/>
  <c r="D82" i="10"/>
  <c r="D80" i="10"/>
  <c r="D69" i="3" s="1"/>
  <c r="D79" i="10"/>
  <c r="D68" i="3" s="1"/>
  <c r="D78" i="10"/>
  <c r="D67" i="3" s="1"/>
  <c r="D77" i="10"/>
  <c r="D66" i="3" s="1"/>
  <c r="D76" i="10"/>
  <c r="D75" i="10"/>
  <c r="D64" i="3" s="1"/>
  <c r="D74" i="10"/>
  <c r="D72" i="10"/>
  <c r="D61" i="3" s="1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53" i="3" s="1"/>
  <c r="D63" i="10"/>
  <c r="D52" i="3" s="1"/>
  <c r="D62" i="10"/>
  <c r="D51" i="3" s="1"/>
  <c r="D61" i="10"/>
  <c r="D50" i="3" s="1"/>
  <c r="D60" i="10"/>
  <c r="D49" i="3" s="1"/>
  <c r="D59" i="10"/>
  <c r="D48" i="3" s="1"/>
  <c r="D58" i="10"/>
  <c r="D56" i="10"/>
  <c r="D45" i="3" s="1"/>
  <c r="D55" i="10"/>
  <c r="D54" i="10"/>
  <c r="D43" i="3" s="1"/>
  <c r="D53" i="10"/>
  <c r="D42" i="3" s="1"/>
  <c r="D52" i="10"/>
  <c r="D41" i="3" s="1"/>
  <c r="D51" i="10"/>
  <c r="D40" i="3" s="1"/>
  <c r="D50" i="10"/>
  <c r="D48" i="10"/>
  <c r="D37" i="3" s="1"/>
  <c r="D47" i="10"/>
  <c r="D36" i="3" s="1"/>
  <c r="D46" i="10"/>
  <c r="D35" i="3" s="1"/>
  <c r="D45" i="10"/>
  <c r="D34" i="3" s="1"/>
  <c r="D44" i="10"/>
  <c r="D33" i="3" s="1"/>
  <c r="D43" i="10"/>
  <c r="D32" i="3" s="1"/>
  <c r="D42" i="10"/>
  <c r="D31" i="3" s="1"/>
  <c r="D41" i="10"/>
  <c r="D39" i="10"/>
  <c r="D28" i="3" s="1"/>
  <c r="D38" i="10"/>
  <c r="D27" i="3" s="1"/>
  <c r="D37" i="10"/>
  <c r="D26" i="3" s="1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72" i="3" l="1"/>
  <c r="D65" i="3"/>
  <c r="B75" i="5"/>
  <c r="B36" i="6"/>
  <c r="B59" i="2"/>
  <c r="B51" i="2"/>
  <c r="B67" i="2"/>
  <c r="B36" i="2"/>
  <c r="B75" i="2"/>
  <c r="B75" i="10"/>
  <c r="B75" i="9"/>
  <c r="B75" i="8"/>
  <c r="B75" i="7"/>
  <c r="B75" i="4"/>
  <c r="B75" i="14"/>
  <c r="B75" i="13"/>
  <c r="B75" i="12"/>
  <c r="D44" i="3"/>
  <c r="B75" i="11"/>
  <c r="B75" i="1"/>
  <c r="B67" i="1"/>
  <c r="B67" i="10"/>
  <c r="B67" i="9"/>
  <c r="B67" i="8"/>
  <c r="B67" i="7"/>
  <c r="B67" i="6"/>
  <c r="B67" i="5"/>
  <c r="B67" i="4"/>
  <c r="B67" i="14"/>
  <c r="B67" i="13"/>
  <c r="B67" i="12"/>
  <c r="B67" i="11"/>
  <c r="B59" i="1"/>
  <c r="B59" i="10"/>
  <c r="B59" i="9"/>
  <c r="B59" i="8"/>
  <c r="B59" i="7"/>
  <c r="B59" i="4"/>
  <c r="B59" i="14"/>
  <c r="B59" i="13"/>
  <c r="B59" i="12"/>
  <c r="B59" i="11"/>
  <c r="B51" i="9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48" i="3" s="1"/>
  <c r="B51" i="1"/>
  <c r="B36" i="1"/>
  <c r="B36" i="10"/>
  <c r="B36" i="9"/>
  <c r="B36" i="8"/>
  <c r="B36" i="7"/>
  <c r="B59" i="6"/>
  <c r="B36" i="5"/>
  <c r="B36" i="4"/>
  <c r="B36" i="14"/>
  <c r="B36" i="13"/>
  <c r="B36" i="12"/>
  <c r="B36" i="11"/>
  <c r="B25" i="3"/>
  <c r="B42" i="1"/>
  <c r="B42" i="5"/>
  <c r="B42" i="10"/>
  <c r="B42" i="7"/>
  <c r="B42" i="13"/>
  <c r="B42" i="12"/>
  <c r="B42" i="8"/>
  <c r="B42" i="9"/>
  <c r="B42" i="14"/>
  <c r="D30" i="3"/>
  <c r="B31" i="3" s="1"/>
  <c r="B42" i="6"/>
  <c r="D39" i="3"/>
  <c r="D55" i="3"/>
  <c r="B56" i="3" s="1"/>
  <c r="B83" i="10"/>
  <c r="B83" i="9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N6" i="3" l="1"/>
  <c r="B64" i="3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C6" i="3" l="1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s="1"/>
</calcChain>
</file>

<file path=xl/sharedStrings.xml><?xml version="1.0" encoding="utf-8"?>
<sst xmlns="http://schemas.openxmlformats.org/spreadsheetml/2006/main" count="1272" uniqueCount="136">
  <si>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</si>
  <si>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</si>
  <si>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</si>
  <si>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</si>
  <si>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</si>
  <si>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</si>
  <si>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</si>
  <si>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</si>
  <si>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</si>
  <si>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</si>
  <si>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</si>
  <si>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</si>
  <si>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</si>
  <si>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</si>
  <si>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</si>
  <si>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</si>
  <si>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</si>
  <si>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</si>
  <si>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</si>
  <si>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</si>
  <si>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</si>
  <si>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</si>
  <si>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</si>
  <si>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</si>
  <si>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</si>
  <si>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</si>
  <si>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</si>
  <si>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</si>
  <si>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</si>
  <si>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</si>
  <si>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</si>
  <si>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</si>
  <si>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</si>
  <si>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</si>
  <si>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</si>
  <si>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</si>
  <si>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</si>
  <si>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</si>
  <si>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</si>
  <si>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</si>
  <si>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</si>
  <si>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</si>
  <si>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</si>
  <si>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</si>
  <si>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</si>
  <si>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</si>
  <si>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</si>
  <si>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</si>
  <si>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</si>
  <si>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</si>
  <si>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</si>
  <si>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</si>
  <si>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</si>
  <si>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</si>
  <si>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</si>
  <si>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</si>
  <si>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</si>
  <si>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</si>
  <si>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</si>
  <si>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</si>
  <si>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</si>
  <si>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</si>
  <si>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</si>
  <si>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</si>
  <si>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</si>
  <si>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</si>
  <si>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</si>
  <si>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</si>
  <si>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</si>
  <si>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</si>
  <si>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</si>
  <si>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</si>
  <si>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</si>
  <si>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</si>
  <si>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</si>
  <si>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</si>
  <si>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</si>
  <si>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</si>
  <si>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</si>
  <si>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</si>
  <si>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</si>
  <si>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</si>
  <si>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</si>
  <si>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</si>
  <si>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</si>
  <si>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</si>
  <si>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</si>
  <si>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</si>
  <si>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</si>
  <si>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</si>
  <si>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</si>
  <si>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</si>
  <si>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</si>
  <si>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</si>
  <si>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</si>
  <si>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</si>
  <si>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</si>
  <si>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</si>
  <si>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</si>
  <si>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</si>
  <si>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</si>
  <si>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</si>
  <si>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</si>
  <si>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</si>
  <si>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</si>
  <si>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</si>
  <si>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</si>
  <si>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</si>
  <si>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</si>
  <si>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</si>
  <si>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</si>
  <si>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</si>
  <si>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</si>
  <si>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</si>
  <si>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</si>
  <si>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</si>
  <si>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</si>
  <si>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</si>
  <si>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</si>
  <si>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</si>
  <si>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</si>
  <si>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</si>
  <si>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</si>
  <si>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</si>
  <si>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</si>
  <si>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</si>
  <si>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</si>
  <si>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</si>
  <si>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</si>
  <si>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</si>
  <si>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</si>
  <si>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</si>
  <si>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</si>
  <si>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</si>
  <si>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claro</t>
  </si>
  <si>
    <t>ultima do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</si>
</sst>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6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3" xfId="0" applyFill="1" applyBorder="1" applyAlignment="1"/>
    <xf numFmtId="0" fontId="0" fillId="5" borderId="44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0" borderId="0" xfId="0" applyNumberFormat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5" xfId="1" applyFont="1" applyFill="1" applyBorder="1" applyAlignment="1">
      <alignment horizontal="center"/>
    </xf>
    <xf numFmtId="44" fontId="0" fillId="9" borderId="46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6" borderId="42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13.6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816.59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272.89999999999998</c:v>
                </c:pt>
                <c:pt idx="11">
                  <c:v>166.8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0</c:v>
                </c:pt>
                <c:pt idx="11">
                  <c:v>649.79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25900688"/>
        <c:axId val="1478407008"/>
      </c:barChart>
      <c:catAx>
        <c:axId val="12259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8407008"/>
        <c:crosses val="autoZero"/>
        <c:auto val="1"/>
        <c:lblAlgn val="ctr"/>
        <c:lblOffset val="100"/>
        <c:noMultiLvlLbl val="0"/>
      </c:catAx>
      <c:valAx>
        <c:axId val="147840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59006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10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12" sqref="F1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272.89999999999998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/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0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>
        <v>272.89999999999998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Normal="100" workbookViewId="0">
      <selection activeCell="K7" sqref="K7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5" width="12" customWidth="1"/>
    <col min="16" max="16" width="15.85546875" bestFit="1" customWidth="1"/>
  </cols>
  <sheetData>
    <row r="1" spans="2:16" ht="15.75" thickBot="1" x14ac:dyDescent="0.3"/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15"/>
      <c r="I2" s="115"/>
      <c r="J2" s="115"/>
      <c r="K2" s="115"/>
    </row>
    <row r="3" spans="2:16" ht="15.75" thickBot="1" x14ac:dyDescent="0.3">
      <c r="B3" s="10" t="s">
        <v>4</v>
      </c>
      <c r="C3" s="29"/>
      <c r="D3" s="30">
        <v>652.59</v>
      </c>
      <c r="F3" s="38">
        <f>SUM(D3,D5,D6,D7,D4)</f>
        <v>816.59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45996</v>
      </c>
    </row>
    <row r="5" spans="2:16" ht="15.75" thickBot="1" x14ac:dyDescent="0.3">
      <c r="B5" s="24" t="s">
        <v>6</v>
      </c>
      <c r="C5" s="25"/>
      <c r="D5" s="27">
        <v>84</v>
      </c>
      <c r="F5" s="99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>
        <v>80</v>
      </c>
      <c r="F6" s="36">
        <f>SUM(K11:K22)</f>
        <v>166.8</v>
      </c>
      <c r="I6" s="14">
        <v>45847</v>
      </c>
    </row>
    <row r="7" spans="2:16" ht="15.75" thickBot="1" x14ac:dyDescent="0.3">
      <c r="B7" s="8" t="s">
        <v>15</v>
      </c>
      <c r="C7" s="9"/>
      <c r="D7" s="28">
        <f>Nov!F7</f>
        <v>0</v>
      </c>
      <c r="F7" s="39">
        <f>F3-F4-F6</f>
        <v>649.79</v>
      </c>
    </row>
    <row r="8" spans="2:16" ht="15.75" thickBot="1" x14ac:dyDescent="0.3"/>
    <row r="9" spans="2:16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>
        <v>1</v>
      </c>
      <c r="I11" s="13" t="s">
        <v>111</v>
      </c>
      <c r="J11" s="13" t="s">
        <v>134</v>
      </c>
      <c r="K11" s="60">
        <v>30</v>
      </c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>
        <v>45966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>
        <v>45996</v>
      </c>
      <c r="I13" s="13" t="s">
        <v>118</v>
      </c>
      <c r="J13" s="1" t="s">
        <v>135</v>
      </c>
      <c r="K13" s="61">
        <v>130</v>
      </c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30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130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opLeftCell="A7" zoomScale="85" zoomScaleNormal="85" workbookViewId="0">
      <selection activeCell="D17" sqref="D17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4">
        <f>Dez!$F$3</f>
        <v>816.59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272.89999999999998</v>
      </c>
      <c r="N4" s="105">
        <f>Dez!$F$4</f>
        <v>0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6">
        <f>Dez!$F$6</f>
        <v>166.8</v>
      </c>
    </row>
    <row r="6" spans="2:15" x14ac:dyDescent="0.25">
      <c r="B6" s="47" t="s">
        <v>77</v>
      </c>
      <c r="C6" s="45">
        <f>C4+C5</f>
        <v>0</v>
      </c>
      <c r="D6" s="45">
        <f t="shared" ref="D6:N6" si="0">D4+D5</f>
        <v>0</v>
      </c>
      <c r="E6" s="45">
        <f t="shared" si="0"/>
        <v>0</v>
      </c>
      <c r="F6" s="45">
        <f t="shared" si="0"/>
        <v>0</v>
      </c>
      <c r="G6" s="45">
        <f t="shared" si="0"/>
        <v>0</v>
      </c>
      <c r="H6" s="45">
        <f t="shared" si="0"/>
        <v>0</v>
      </c>
      <c r="I6" s="45">
        <f t="shared" si="0"/>
        <v>528</v>
      </c>
      <c r="J6" s="45">
        <f t="shared" si="0"/>
        <v>647.15</v>
      </c>
      <c r="K6" s="45">
        <f t="shared" si="0"/>
        <v>461.19</v>
      </c>
      <c r="L6" s="45">
        <f t="shared" si="0"/>
        <v>63.8</v>
      </c>
      <c r="M6" s="45">
        <f t="shared" si="0"/>
        <v>272.89999999999998</v>
      </c>
      <c r="N6" s="107">
        <f t="shared" si="0"/>
        <v>166.8</v>
      </c>
    </row>
    <row r="7" spans="2:15" x14ac:dyDescent="0.25">
      <c r="B7" s="47" t="s">
        <v>15</v>
      </c>
      <c r="C7" s="103">
        <f>C3-C6</f>
        <v>0</v>
      </c>
      <c r="D7" s="103">
        <f t="shared" ref="D7:N7" si="1">D3-D6</f>
        <v>0</v>
      </c>
      <c r="E7" s="103">
        <f t="shared" si="1"/>
        <v>0</v>
      </c>
      <c r="F7" s="103">
        <f t="shared" si="1"/>
        <v>0</v>
      </c>
      <c r="G7" s="103">
        <f t="shared" si="1"/>
        <v>0</v>
      </c>
      <c r="H7" s="103">
        <f t="shared" si="1"/>
        <v>0</v>
      </c>
      <c r="I7" s="103">
        <f t="shared" si="1"/>
        <v>126</v>
      </c>
      <c r="J7" s="103">
        <f t="shared" si="1"/>
        <v>138.37</v>
      </c>
      <c r="K7" s="103">
        <f t="shared" si="1"/>
        <v>336.7</v>
      </c>
      <c r="L7" s="103">
        <f t="shared" si="1"/>
        <v>272.89999999999998</v>
      </c>
      <c r="M7" s="103">
        <f t="shared" si="1"/>
        <v>0</v>
      </c>
      <c r="N7" s="108">
        <f t="shared" si="1"/>
        <v>649.79</v>
      </c>
    </row>
    <row r="8" spans="2:15" ht="15.75" thickBot="1" x14ac:dyDescent="0.3">
      <c r="B8" s="100" t="s">
        <v>128</v>
      </c>
      <c r="C8" s="101">
        <f>Jan!D4</f>
        <v>0</v>
      </c>
      <c r="D8" s="101">
        <f>Fev!D4</f>
        <v>0</v>
      </c>
      <c r="E8" s="101">
        <f>Mar!D4</f>
        <v>0</v>
      </c>
      <c r="F8" s="101">
        <f>Abr!D4</f>
        <v>0</v>
      </c>
      <c r="G8" s="101">
        <f>Mai!D4</f>
        <v>0</v>
      </c>
      <c r="H8" s="101">
        <f>Jun!D4</f>
        <v>0</v>
      </c>
      <c r="I8" s="101">
        <f>Jul!D4</f>
        <v>0</v>
      </c>
      <c r="J8" s="101">
        <f>Ago!D4</f>
        <v>0</v>
      </c>
      <c r="K8" s="101">
        <f>Set!D4</f>
        <v>0</v>
      </c>
      <c r="L8" s="101">
        <f>Out!D4</f>
        <v>0</v>
      </c>
      <c r="M8" s="101">
        <f>Nov!D4</f>
        <v>0</v>
      </c>
      <c r="N8" s="102">
        <f>Dez!D4</f>
        <v>0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109" t="s">
        <v>133</v>
      </c>
    </row>
    <row r="14" spans="2:15" x14ac:dyDescent="0.25">
      <c r="B14" s="40" t="s">
        <v>35</v>
      </c>
      <c r="C14" s="48">
        <f>Jan!$B$36</f>
        <v>0</v>
      </c>
      <c r="D14" s="48">
        <f>Fev!$B$36</f>
        <v>0</v>
      </c>
      <c r="E14" s="48">
        <f>Jan!$B$36</f>
        <v>0</v>
      </c>
      <c r="F14" s="48">
        <f>Jan!$B$36</f>
        <v>0</v>
      </c>
      <c r="G14" s="48">
        <f>Jan!$B$36</f>
        <v>0</v>
      </c>
      <c r="H14" s="48">
        <f>Jan!$B$36</f>
        <v>0</v>
      </c>
      <c r="I14" s="48">
        <f>Jan!$B$36</f>
        <v>0</v>
      </c>
      <c r="J14" s="48">
        <f>Jan!$B$36</f>
        <v>0</v>
      </c>
      <c r="K14" s="48">
        <f>Jan!$B$36</f>
        <v>0</v>
      </c>
      <c r="L14" s="48">
        <f>Jan!$B$36</f>
        <v>0</v>
      </c>
      <c r="M14" s="48">
        <f>Jan!$B$36</f>
        <v>0</v>
      </c>
      <c r="N14" s="48">
        <f>Jan!$B$36</f>
        <v>0</v>
      </c>
      <c r="O14" s="98">
        <f>SUM(C14:N14)</f>
        <v>0</v>
      </c>
    </row>
    <row r="15" spans="2:15" x14ac:dyDescent="0.25">
      <c r="B15" s="40" t="s">
        <v>21</v>
      </c>
      <c r="C15" s="48">
        <f>Fev!$B$42</f>
        <v>0</v>
      </c>
      <c r="D15" s="48">
        <f>Fev!$B$42</f>
        <v>0</v>
      </c>
      <c r="E15" s="48">
        <f>Fev!$B$42</f>
        <v>0</v>
      </c>
      <c r="F15" s="48">
        <f>Fev!$B$42</f>
        <v>0</v>
      </c>
      <c r="G15" s="48">
        <f>Fev!$B$42</f>
        <v>0</v>
      </c>
      <c r="H15" s="48">
        <f>Fev!$B$42</f>
        <v>0</v>
      </c>
      <c r="I15" s="48">
        <f>Fev!$B$42</f>
        <v>0</v>
      </c>
      <c r="J15" s="48">
        <f>Fev!$B$42</f>
        <v>0</v>
      </c>
      <c r="K15" s="48">
        <f>Fev!$B$42</f>
        <v>0</v>
      </c>
      <c r="L15" s="48">
        <f>Fev!$B$42</f>
        <v>0</v>
      </c>
      <c r="M15" s="48">
        <f>Fev!$B$42</f>
        <v>0</v>
      </c>
      <c r="N15" s="48">
        <f>Fev!$B$42</f>
        <v>0</v>
      </c>
      <c r="O15" s="98">
        <f t="shared" ref="O15:O20" si="2">SUM(C15:N15)</f>
        <v>0</v>
      </c>
    </row>
    <row r="16" spans="2:15" x14ac:dyDescent="0.25">
      <c r="B16" s="40" t="s">
        <v>27</v>
      </c>
      <c r="C16" s="48">
        <f>Jan!$B$51</f>
        <v>0</v>
      </c>
      <c r="D16" s="48">
        <f>Fev!B51</f>
        <v>0</v>
      </c>
      <c r="E16" s="48">
        <f>Jan!$B$51</f>
        <v>0</v>
      </c>
      <c r="F16" s="48">
        <f>Jan!$B$51</f>
        <v>0</v>
      </c>
      <c r="G16" s="48">
        <f>Jan!$B$51</f>
        <v>0</v>
      </c>
      <c r="H16" s="48">
        <f>Jan!$B$51</f>
        <v>0</v>
      </c>
      <c r="I16" s="48">
        <f>Jan!$B$51</f>
        <v>0</v>
      </c>
      <c r="J16" s="48">
        <f>Jan!$B$51</f>
        <v>0</v>
      </c>
      <c r="K16" s="48">
        <f>Jan!$B$51</f>
        <v>0</v>
      </c>
      <c r="L16" s="48">
        <f>Jan!$B$51</f>
        <v>0</v>
      </c>
      <c r="M16" s="48">
        <f>Jan!$B$51</f>
        <v>0</v>
      </c>
      <c r="N16" s="48">
        <f>Jan!$B$51</f>
        <v>0</v>
      </c>
      <c r="O16" s="98">
        <f t="shared" si="2"/>
        <v>0</v>
      </c>
    </row>
    <row r="17" spans="2:15" x14ac:dyDescent="0.25">
      <c r="B17" s="40" t="s">
        <v>24</v>
      </c>
      <c r="C17" s="48">
        <f>Jan!$B$59</f>
        <v>0</v>
      </c>
      <c r="D17" s="48">
        <f>Jan!$B$59</f>
        <v>0</v>
      </c>
      <c r="E17" s="48">
        <f>Jan!$B$59</f>
        <v>0</v>
      </c>
      <c r="F17" s="48">
        <f>Jan!$B$59</f>
        <v>0</v>
      </c>
      <c r="G17" s="48">
        <f>Jan!$B$59</f>
        <v>0</v>
      </c>
      <c r="H17" s="48">
        <f>Jan!$B$59</f>
        <v>0</v>
      </c>
      <c r="I17" s="48">
        <f>Jan!$B$59</f>
        <v>0</v>
      </c>
      <c r="J17" s="48">
        <f>Jan!$B$59</f>
        <v>0</v>
      </c>
      <c r="K17" s="48">
        <f>Jan!$B$59</f>
        <v>0</v>
      </c>
      <c r="L17" s="48">
        <f>Jan!$B$59</f>
        <v>0</v>
      </c>
      <c r="M17" s="48">
        <f>Jan!$B$59</f>
        <v>0</v>
      </c>
      <c r="N17" s="48">
        <f>Jan!$B$59</f>
        <v>0</v>
      </c>
      <c r="O17" s="98">
        <f t="shared" si="2"/>
        <v>0</v>
      </c>
    </row>
    <row r="18" spans="2:15" x14ac:dyDescent="0.25">
      <c r="B18" s="40" t="s">
        <v>83</v>
      </c>
      <c r="C18" s="48">
        <f>Jan!$B$67</f>
        <v>0</v>
      </c>
      <c r="D18" s="48">
        <f>Jan!$B$67</f>
        <v>0</v>
      </c>
      <c r="E18" s="48">
        <f>Jan!$B$67</f>
        <v>0</v>
      </c>
      <c r="F18" s="48">
        <f>Jan!$B$67</f>
        <v>0</v>
      </c>
      <c r="G18" s="48">
        <f>Jan!$B$67</f>
        <v>0</v>
      </c>
      <c r="H18" s="48">
        <f>Jan!$B$67</f>
        <v>0</v>
      </c>
      <c r="I18" s="48">
        <f>Jan!$B$67</f>
        <v>0</v>
      </c>
      <c r="J18" s="48">
        <f>Jan!$B$67</f>
        <v>0</v>
      </c>
      <c r="K18" s="48">
        <f>Jan!$B$67</f>
        <v>0</v>
      </c>
      <c r="L18" s="48">
        <f>Jan!$B$67</f>
        <v>0</v>
      </c>
      <c r="M18" s="48">
        <f>Jan!$B$67</f>
        <v>0</v>
      </c>
      <c r="N18" s="48">
        <f>Jan!$B$67</f>
        <v>0</v>
      </c>
      <c r="O18" s="98">
        <f t="shared" si="2"/>
        <v>0</v>
      </c>
    </row>
    <row r="19" spans="2:15" x14ac:dyDescent="0.25">
      <c r="B19" s="40" t="s">
        <v>84</v>
      </c>
      <c r="C19" s="48">
        <f>Jan!$B$75</f>
        <v>0</v>
      </c>
      <c r="D19" s="48">
        <f>Jan!$B$75</f>
        <v>0</v>
      </c>
      <c r="E19" s="48">
        <f>Jan!$B$75</f>
        <v>0</v>
      </c>
      <c r="F19" s="48">
        <f>Jan!$B$75</f>
        <v>0</v>
      </c>
      <c r="G19" s="48">
        <f>Jan!$B$75</f>
        <v>0</v>
      </c>
      <c r="H19" s="48">
        <f>Jan!$B$75</f>
        <v>0</v>
      </c>
      <c r="I19" s="48">
        <f>Jan!$B$75</f>
        <v>0</v>
      </c>
      <c r="J19" s="48">
        <f>Jan!$B$75</f>
        <v>0</v>
      </c>
      <c r="K19" s="48">
        <f>Jan!$B$75</f>
        <v>0</v>
      </c>
      <c r="L19" s="48">
        <f>Jan!$B$75</f>
        <v>0</v>
      </c>
      <c r="M19" s="48">
        <f>Jan!$B$75</f>
        <v>0</v>
      </c>
      <c r="N19" s="48">
        <f>Jan!$B$75</f>
        <v>0</v>
      </c>
      <c r="O19" s="98">
        <f t="shared" si="2"/>
        <v>0</v>
      </c>
    </row>
    <row r="20" spans="2:15" x14ac:dyDescent="0.25">
      <c r="B20" s="40" t="s">
        <v>45</v>
      </c>
      <c r="C20" s="48">
        <f>Jan!$B$83</f>
        <v>0</v>
      </c>
      <c r="D20" s="48">
        <f>Jan!$B$83</f>
        <v>0</v>
      </c>
      <c r="E20" s="48">
        <f>Jan!$B$83</f>
        <v>0</v>
      </c>
      <c r="F20" s="48">
        <f>Jan!$B$83</f>
        <v>0</v>
      </c>
      <c r="G20" s="48">
        <f>Jan!$B$83</f>
        <v>0</v>
      </c>
      <c r="H20" s="48">
        <f>Jan!$B$83</f>
        <v>0</v>
      </c>
      <c r="I20" s="48">
        <f>Jan!$B$83</f>
        <v>0</v>
      </c>
      <c r="J20" s="48">
        <f>Jan!$B$83</f>
        <v>0</v>
      </c>
      <c r="K20" s="48">
        <f>Jan!$B$83</f>
        <v>0</v>
      </c>
      <c r="L20" s="48">
        <f>Jan!$B$83</f>
        <v>0</v>
      </c>
      <c r="M20" s="48">
        <f>Jan!$B$83</f>
        <v>0</v>
      </c>
      <c r="N20" s="48">
        <f>Jan!$B$83</f>
        <v>0</v>
      </c>
      <c r="O20" s="98">
        <f t="shared" si="2"/>
        <v>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28.6</v>
      </c>
      <c r="C25" s="68" t="s">
        <v>80</v>
      </c>
      <c r="D25" s="69">
        <f>SUBTOTAL(9,Fev!D36,Fev!D36,Mar!D36,Abr!D36,Mai!D36,Jun!D36,Jul!D36,Ago!D36,Set!D36,Out!D36,Nov!D36,Dez!D36)</f>
        <v>0</v>
      </c>
      <c r="F25" s="78" t="s">
        <v>111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13.6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148.13999999999999</v>
      </c>
      <c r="C31" s="68" t="s">
        <v>22</v>
      </c>
      <c r="D31" s="69">
        <f>SUBTOTAL(9,Fev!D42,Fev!D42,Mar!D42,Abr!D42,Mai!D42,Jun!D42,Jul!D42,Ago!D42,Set!D42,Out!D42,Nov!D42,Dez!D42)</f>
        <v>57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407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16.14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235.09000000000003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85.29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B1" zoomScaleNormal="100" workbookViewId="0">
      <selection activeCell="H2" sqref="H2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9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81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/>
      <c r="P8" s="57" t="s">
        <v>83</v>
      </c>
      <c r="R8" s="56" t="s">
        <v>116</v>
      </c>
    </row>
    <row r="9" spans="2:18" ht="15.75" thickBot="1" x14ac:dyDescent="0.3">
      <c r="B9" s="111" t="s">
        <v>8</v>
      </c>
      <c r="C9" s="112"/>
      <c r="D9" s="112"/>
      <c r="E9" s="112"/>
      <c r="F9" s="113"/>
      <c r="H9" s="114" t="s">
        <v>9</v>
      </c>
      <c r="I9" s="114"/>
      <c r="J9" s="114"/>
      <c r="K9" s="114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86</v>
      </c>
      <c r="R13" s="56"/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56"/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89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2025-12-05T21:44:09Z</dcterms:modified>
  <cp:category/>
  <cp:contentStatus/>
</cp:coreProperties>
</file>